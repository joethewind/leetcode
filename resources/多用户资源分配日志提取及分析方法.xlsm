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embeddings/oleObject13.bin" ContentType="application/vnd.openxmlformats-officedocument.oleObject"/>
  <Override PartName="/xl/embeddings/oleObject14.bin" ContentType="application/vnd.openxmlformats-officedocument.oleObject"/>
  <Override PartName="/xl/embeddings/oleObject15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105" windowWidth="14805" windowHeight="8010" firstSheet="3" activeTab="5"/>
  </bookViews>
  <sheets>
    <sheet name="目录索引" sheetId="26" r:id="rId1"/>
    <sheet name="SRSandGAP原始数据" sheetId="7" r:id="rId2"/>
    <sheet name="各资源时域分配原始数据" sheetId="14" r:id="rId3"/>
    <sheet name="小区级时域资源拓扑" sheetId="10" r:id="rId4"/>
    <sheet name="UE级别时域资源拓扑" sheetId="31" r:id="rId5"/>
    <sheet name="PRACHandPUCCH频域位置填写" sheetId="24" r:id="rId6"/>
    <sheet name="PRACHandPUCCH频域位置图示" sheetId="21" r:id="rId7"/>
    <sheet name="PUCCHSR信道分配原始数据" sheetId="27" r:id="rId8"/>
    <sheet name="PUCCHSet0PRB级资源分配" sheetId="28" r:id="rId9"/>
    <sheet name="附录SRS多端口资源计算" sheetId="9" r:id="rId10"/>
    <sheet name="SrsBandwidthConfiguration" sheetId="12" r:id="rId11"/>
  </sheets>
  <calcPr calcId="145621"/>
</workbook>
</file>

<file path=xl/calcChain.xml><?xml version="1.0" encoding="utf-8"?>
<calcChain xmlns="http://schemas.openxmlformats.org/spreadsheetml/2006/main">
  <c r="N51" i="24" l="1"/>
  <c r="O99" i="24" l="1"/>
  <c r="N99" i="24"/>
  <c r="O98" i="24"/>
  <c r="N98" i="24"/>
  <c r="O97" i="24"/>
  <c r="N97" i="24"/>
  <c r="O96" i="24"/>
  <c r="N96" i="24"/>
  <c r="O95" i="24"/>
  <c r="N95" i="24"/>
  <c r="O94" i="24"/>
  <c r="N94" i="24"/>
  <c r="O93" i="24"/>
  <c r="N93" i="24"/>
  <c r="O92" i="24"/>
  <c r="N92" i="24"/>
  <c r="O91" i="24"/>
  <c r="N91" i="24"/>
  <c r="O90" i="24"/>
  <c r="N90" i="24"/>
  <c r="O89" i="24"/>
  <c r="N89" i="24"/>
  <c r="O88" i="24"/>
  <c r="N88" i="24"/>
  <c r="O87" i="24"/>
  <c r="N87" i="24"/>
  <c r="O86" i="24"/>
  <c r="N86" i="24"/>
  <c r="O85" i="24"/>
  <c r="N85" i="24"/>
  <c r="O84" i="24"/>
  <c r="N84" i="24"/>
  <c r="O83" i="24"/>
  <c r="N83" i="24"/>
  <c r="O82" i="24"/>
  <c r="N82" i="24"/>
  <c r="O81" i="24"/>
  <c r="N81" i="24"/>
  <c r="O80" i="24"/>
  <c r="N80" i="24"/>
  <c r="O79" i="24"/>
  <c r="N79" i="24"/>
  <c r="O78" i="24"/>
  <c r="N78" i="24"/>
  <c r="O77" i="24"/>
  <c r="N77" i="24"/>
  <c r="O76" i="24"/>
  <c r="N76" i="24"/>
  <c r="O75" i="24"/>
  <c r="N75" i="24"/>
  <c r="O74" i="24"/>
  <c r="N74" i="24"/>
  <c r="O73" i="24"/>
  <c r="N73" i="24"/>
  <c r="O72" i="24"/>
  <c r="N72" i="24"/>
  <c r="O71" i="24"/>
  <c r="N71" i="24"/>
  <c r="O70" i="24"/>
  <c r="N70" i="24"/>
  <c r="O69" i="24"/>
  <c r="N69" i="24"/>
  <c r="O68" i="24"/>
  <c r="N68" i="24"/>
  <c r="O67" i="24"/>
  <c r="N67" i="24"/>
  <c r="O66" i="24"/>
  <c r="N66" i="24"/>
  <c r="O65" i="24"/>
  <c r="N65" i="24"/>
  <c r="O64" i="24"/>
  <c r="N64" i="24"/>
  <c r="O63" i="24"/>
  <c r="N63" i="24"/>
  <c r="O62" i="24"/>
  <c r="N62" i="24"/>
  <c r="O61" i="24"/>
  <c r="N61" i="24"/>
  <c r="O60" i="24"/>
  <c r="N60" i="24"/>
  <c r="O59" i="24"/>
  <c r="N59" i="24"/>
  <c r="O58" i="24"/>
  <c r="N58" i="24"/>
  <c r="O57" i="24"/>
  <c r="N57" i="24"/>
  <c r="O56" i="24"/>
  <c r="N56" i="24"/>
  <c r="O55" i="24"/>
  <c r="N55" i="24"/>
  <c r="O54" i="24"/>
  <c r="N54" i="24"/>
  <c r="O53" i="24"/>
  <c r="N53" i="24"/>
  <c r="O52" i="24"/>
  <c r="N52" i="24"/>
  <c r="O51" i="24"/>
  <c r="O22" i="9" l="1"/>
  <c r="N22" i="9"/>
  <c r="M22" i="9"/>
  <c r="L22" i="9"/>
  <c r="O21" i="9"/>
  <c r="N21" i="9"/>
  <c r="M21" i="9"/>
  <c r="L21" i="9"/>
  <c r="O20" i="9"/>
  <c r="N20" i="9"/>
  <c r="M20" i="9"/>
  <c r="L20" i="9"/>
  <c r="O19" i="9"/>
  <c r="N19" i="9"/>
  <c r="M19" i="9"/>
  <c r="L19" i="9"/>
  <c r="O18" i="9"/>
  <c r="N18" i="9"/>
  <c r="M18" i="9"/>
  <c r="L18" i="9"/>
  <c r="O17" i="9"/>
  <c r="N17" i="9"/>
  <c r="M17" i="9"/>
  <c r="L17" i="9"/>
  <c r="O16" i="9"/>
  <c r="N16" i="9"/>
  <c r="M16" i="9"/>
  <c r="L16" i="9"/>
  <c r="G16" i="9"/>
  <c r="F16" i="9"/>
  <c r="E16" i="9"/>
  <c r="D16" i="9"/>
  <c r="O15" i="9"/>
  <c r="N15" i="9"/>
  <c r="M15" i="9"/>
  <c r="L15" i="9"/>
  <c r="G15" i="9"/>
  <c r="F15" i="9"/>
  <c r="E15" i="9"/>
  <c r="D15" i="9"/>
  <c r="O14" i="9"/>
  <c r="N14" i="9"/>
  <c r="M14" i="9"/>
  <c r="L14" i="9"/>
  <c r="G14" i="9"/>
  <c r="F14" i="9"/>
  <c r="E14" i="9"/>
  <c r="D14" i="9"/>
  <c r="O13" i="9"/>
  <c r="N13" i="9"/>
  <c r="M13" i="9"/>
  <c r="L13" i="9"/>
  <c r="G13" i="9"/>
  <c r="F13" i="9"/>
  <c r="E13" i="9"/>
  <c r="D13" i="9"/>
  <c r="O12" i="9"/>
  <c r="N12" i="9"/>
  <c r="M12" i="9"/>
  <c r="L12" i="9"/>
  <c r="G12" i="9"/>
  <c r="F12" i="9"/>
  <c r="E12" i="9"/>
  <c r="D12" i="9"/>
  <c r="O11" i="9"/>
  <c r="N11" i="9"/>
  <c r="M11" i="9"/>
  <c r="L11" i="9"/>
  <c r="G11" i="9"/>
  <c r="F11" i="9"/>
  <c r="E11" i="9"/>
  <c r="D11" i="9"/>
  <c r="O10" i="9"/>
  <c r="N10" i="9"/>
  <c r="M10" i="9"/>
  <c r="L10" i="9"/>
  <c r="G10" i="9"/>
  <c r="F10" i="9"/>
  <c r="E10" i="9"/>
  <c r="D10" i="9"/>
  <c r="O9" i="9"/>
  <c r="N9" i="9"/>
  <c r="M9" i="9"/>
  <c r="L9" i="9"/>
  <c r="G9" i="9"/>
  <c r="F9" i="9"/>
  <c r="E9" i="9"/>
  <c r="D9" i="9"/>
  <c r="O8" i="9"/>
  <c r="N8" i="9"/>
  <c r="M8" i="9"/>
  <c r="L8" i="9"/>
  <c r="G8" i="9"/>
  <c r="F8" i="9"/>
  <c r="E8" i="9"/>
  <c r="D8" i="9"/>
  <c r="O7" i="9"/>
  <c r="N7" i="9"/>
  <c r="M7" i="9"/>
  <c r="L7" i="9"/>
  <c r="G7" i="9"/>
  <c r="F7" i="9"/>
  <c r="E7" i="9"/>
  <c r="D7" i="9"/>
  <c r="G42" i="24"/>
  <c r="H40" i="24"/>
  <c r="G40" i="24"/>
  <c r="H38" i="24"/>
  <c r="G38" i="24"/>
  <c r="B23" i="24"/>
  <c r="D21" i="24"/>
  <c r="C21" i="24"/>
  <c r="B21" i="24"/>
  <c r="G19" i="24" s="1"/>
  <c r="E30" i="24" s="1"/>
  <c r="B20" i="24"/>
  <c r="F19" i="24" s="1"/>
  <c r="F32" i="24" s="1"/>
  <c r="I19" i="24"/>
  <c r="E34" i="24" s="1"/>
  <c r="H19" i="24"/>
  <c r="E32" i="24" s="1"/>
  <c r="B19" i="24"/>
  <c r="E16" i="24"/>
  <c r="D34" i="24" s="1"/>
  <c r="C16" i="24"/>
  <c r="D16" i="24" s="1"/>
  <c r="C34" i="24" s="1"/>
  <c r="F34" i="24" s="1"/>
  <c r="C15" i="24"/>
  <c r="E15" i="24" s="1"/>
  <c r="D32" i="24" s="1"/>
  <c r="G14" i="24"/>
  <c r="F14" i="24"/>
  <c r="C14" i="24"/>
  <c r="D14" i="24" s="1"/>
  <c r="D10" i="24"/>
  <c r="D9" i="24"/>
  <c r="D8" i="24"/>
  <c r="C3" i="24"/>
  <c r="A3" i="24"/>
  <c r="E3" i="24" s="1"/>
  <c r="E14" i="24" l="1"/>
  <c r="D30" i="24" s="1"/>
  <c r="H42" i="24"/>
  <c r="D15" i="24"/>
  <c r="C32" i="24" s="1"/>
  <c r="J3" i="24"/>
  <c r="L3" i="24" s="1"/>
  <c r="M3" i="24" s="1"/>
  <c r="O14" i="24"/>
  <c r="H30" i="24" s="1"/>
  <c r="N14" i="24"/>
  <c r="G30" i="24" s="1"/>
  <c r="C30" i="24"/>
  <c r="J14" i="24"/>
  <c r="K14" i="24" s="1"/>
  <c r="Q14" i="24"/>
  <c r="J30" i="24" s="1"/>
  <c r="G3" i="24"/>
  <c r="H3" i="24" s="1"/>
  <c r="M14" i="24"/>
  <c r="F30" i="24"/>
  <c r="L14" i="24"/>
  <c r="P14" i="24"/>
  <c r="I30" i="24" s="1"/>
  <c r="N3" i="24" l="1"/>
  <c r="O3" i="24" s="1"/>
  <c r="S3" i="24" s="1"/>
</calcChain>
</file>

<file path=xl/comments1.xml><?xml version="1.0" encoding="utf-8"?>
<comments xmlns="http://schemas.openxmlformats.org/spreadsheetml/2006/main">
  <authors>
    <author>作者</author>
  </authors>
  <commentList>
    <comment ref="L3" authorId="0">
      <text>
        <r>
          <rPr>
            <sz val="9"/>
            <color indexed="81"/>
            <rFont val="宋体"/>
            <family val="3"/>
            <charset val="134"/>
          </rPr>
          <t>对应srs资源配置中periodicityAndOffset-p周期和偏移
Tsrs_CB 代表码本srs对应的资源；
Tsrs_AS代表轮发资源对应的资源，如给UE配置了多个，则取多个资源的值</t>
        </r>
      </text>
    </comment>
    <comment ref="M3" authorId="0">
      <text>
        <r>
          <rPr>
            <sz val="9"/>
            <color indexed="81"/>
            <rFont val="宋体"/>
            <family val="3"/>
            <charset val="134"/>
          </rPr>
          <t>对应periodicityAndOffset-p中offset的值。</t>
        </r>
      </text>
    </comment>
  </commentList>
</comments>
</file>

<file path=xl/sharedStrings.xml><?xml version="1.0" encoding="utf-8"?>
<sst xmlns="http://schemas.openxmlformats.org/spreadsheetml/2006/main" count="471" uniqueCount="351">
  <si>
    <t>startingPRB</t>
    <phoneticPr fontId="2" type="noConversion"/>
  </si>
  <si>
    <t>pucch-ResourceId 3</t>
  </si>
  <si>
    <t>pucch-ResourceId 4</t>
  </si>
  <si>
    <t>pucch-ResourceId 5</t>
  </si>
  <si>
    <t>pucch-ResourceId 6</t>
  </si>
  <si>
    <t>pucch-ResourceId 7</t>
  </si>
  <si>
    <t>pucch-ResourceId 8</t>
  </si>
  <si>
    <t>pucch-ResourceId 9</t>
  </si>
  <si>
    <t>pucch-ResourceId 10</t>
  </si>
  <si>
    <t>pucch-ResourceId 11</t>
  </si>
  <si>
    <t>pucch-ResourceId 12</t>
  </si>
  <si>
    <t>pucch-ResourceId 13</t>
  </si>
  <si>
    <t>pucch-ResourceId 14</t>
  </si>
  <si>
    <t>pucch-ResourceId 15</t>
  </si>
  <si>
    <t>pucch-ResourceId 16</t>
  </si>
  <si>
    <t>pucch-ResourceId 17</t>
  </si>
  <si>
    <t>pucch-ResourceId 18</t>
  </si>
  <si>
    <t>pucch-ResourceId 19</t>
  </si>
  <si>
    <t>pucch-ResourceId 20</t>
  </si>
  <si>
    <t>pucch-ResourceId 21</t>
  </si>
  <si>
    <t>pucch-ResourceId 22</t>
  </si>
  <si>
    <t>pucch-ResourceId 23</t>
  </si>
  <si>
    <t>pucch-ResourceId 25</t>
  </si>
  <si>
    <t>pucch-ResourceId 26</t>
  </si>
  <si>
    <t>pucch-ResourceId 27</t>
  </si>
  <si>
    <t>pucch-ResourceId 28</t>
  </si>
  <si>
    <t>pucch-ResourceId 29</t>
  </si>
  <si>
    <t>pucch-ResourceId 30</t>
  </si>
  <si>
    <t>pucch-ResourceId 31</t>
  </si>
  <si>
    <t>pucch-ResourceId 32</t>
  </si>
  <si>
    <t>pucch-ResourceId 33</t>
  </si>
  <si>
    <t>pucch-ResourceId 34</t>
  </si>
  <si>
    <t>pucch-ResourceId 35</t>
  </si>
  <si>
    <t>pucch-ResourceId 36</t>
  </si>
  <si>
    <t>pucch-ResourceId 37</t>
  </si>
  <si>
    <t>pucch-ResourceId 38</t>
  </si>
  <si>
    <t>pucch-ResourceId 39</t>
  </si>
  <si>
    <t>pucch-ResourceId 40</t>
  </si>
  <si>
    <t>pucch-ResourceId 41</t>
  </si>
  <si>
    <t>pucch-ResourceId 42</t>
  </si>
  <si>
    <t>pucch-ResourceId 43</t>
  </si>
  <si>
    <t>pucch-ResourceId 44</t>
  </si>
  <si>
    <t>pucch-ResourceId 45</t>
  </si>
  <si>
    <t>pucch-ResourceId 46</t>
  </si>
  <si>
    <t>pucch-ResourceId 47</t>
  </si>
  <si>
    <t>pucch-ResourceId 48</t>
  </si>
  <si>
    <t>PRACH</t>
    <phoneticPr fontId="2" type="noConversion"/>
  </si>
  <si>
    <t>srs-ResourceSetId</t>
    <phoneticPr fontId="2" type="noConversion"/>
  </si>
  <si>
    <t>srs-ResourceId</t>
    <phoneticPr fontId="2" type="noConversion"/>
  </si>
  <si>
    <t>transmissionComb</t>
    <phoneticPr fontId="2" type="noConversion"/>
  </si>
  <si>
    <t>repetitionFactor</t>
  </si>
  <si>
    <t>freqDomainPosition</t>
  </si>
  <si>
    <t>freqDomainShift</t>
  </si>
  <si>
    <t>c-SRS</t>
  </si>
  <si>
    <t>b-SRS</t>
  </si>
  <si>
    <t>b-hop</t>
  </si>
  <si>
    <t>cyclicShift-n2</t>
    <phoneticPr fontId="2" type="noConversion"/>
  </si>
  <si>
    <t>Ue Index:</t>
    <phoneticPr fontId="2" type="noConversion"/>
  </si>
  <si>
    <t>Pi</t>
    <phoneticPr fontId="52" type="noConversion"/>
  </si>
  <si>
    <t>NportCyclicshift(Ncs)</t>
    <phoneticPr fontId="52" type="noConversion"/>
  </si>
  <si>
    <t>以下为多端口SRS资源时，各端口的Ncs和Ktc自动计算；
HL分配多端口SRS资源时，需要确定这些端口对应的频域和码域均可用才行；</t>
    <phoneticPr fontId="52" type="noConversion"/>
  </si>
  <si>
    <t>Ktc</t>
    <phoneticPr fontId="52" type="noConversion"/>
  </si>
  <si>
    <t>maxNcs</t>
    <phoneticPr fontId="52" type="noConversion"/>
  </si>
  <si>
    <t>port</t>
    <phoneticPr fontId="52" type="noConversion"/>
  </si>
  <si>
    <t>TransmissionComb(Ktc)</t>
    <phoneticPr fontId="52" type="noConversion"/>
  </si>
  <si>
    <t>TransmissionComb(Ktc)</t>
    <phoneticPr fontId="52" type="noConversion"/>
  </si>
  <si>
    <t>startPosition</t>
    <phoneticPr fontId="2" type="noConversion"/>
  </si>
  <si>
    <t>usage</t>
    <phoneticPr fontId="2" type="noConversion"/>
  </si>
  <si>
    <t>15:27:35:391</t>
    <phoneticPr fontId="2" type="noConversion"/>
  </si>
  <si>
    <t>Time</t>
    <phoneticPr fontId="2" type="noConversion"/>
  </si>
  <si>
    <t>codebook</t>
  </si>
  <si>
    <t>antennaSwitching</t>
  </si>
  <si>
    <t xml:space="preserve"> port1</t>
  </si>
  <si>
    <t>n2</t>
  </si>
  <si>
    <t>combOffset-n2</t>
    <phoneticPr fontId="2" type="noConversion"/>
  </si>
  <si>
    <t>-</t>
    <phoneticPr fontId="2" type="noConversion"/>
  </si>
  <si>
    <t>n1</t>
    <phoneticPr fontId="2" type="noConversion"/>
  </si>
  <si>
    <t>sl160</t>
    <phoneticPr fontId="2" type="noConversion"/>
  </si>
  <si>
    <t>Offset</t>
    <phoneticPr fontId="2" type="noConversion"/>
  </si>
  <si>
    <t>编号（slot）</t>
    <phoneticPr fontId="2" type="noConversion"/>
  </si>
  <si>
    <t>端口2占用ncs</t>
    <phoneticPr fontId="2" type="noConversion"/>
  </si>
  <si>
    <t>gapOffset(ms)</t>
    <phoneticPr fontId="2" type="noConversion"/>
  </si>
  <si>
    <t>mgl(ms)</t>
    <phoneticPr fontId="2" type="noConversion"/>
  </si>
  <si>
    <t>mgta</t>
    <phoneticPr fontId="2" type="noConversion"/>
  </si>
  <si>
    <t>Table 6.4.1.4.3-1: SRS bandwidth configuration.</t>
    <phoneticPr fontId="2" type="noConversion"/>
  </si>
  <si>
    <t xml:space="preserve">
在确定了nrrc的搜索集合之后，仅需要尝试在 的位置查询该起始PRB资源位置是否已经被占用。
</t>
    <phoneticPr fontId="2" type="noConversion"/>
  </si>
  <si>
    <t>mgrp(ms)</t>
    <phoneticPr fontId="2" type="noConversion"/>
  </si>
  <si>
    <t>Gap</t>
    <phoneticPr fontId="2" type="noConversion"/>
  </si>
  <si>
    <t>nrofSymbols</t>
    <phoneticPr fontId="2" type="noConversion"/>
  </si>
  <si>
    <t>nrofSRS-Ports</t>
    <phoneticPr fontId="2" type="noConversion"/>
  </si>
  <si>
    <t>各UE资源是否冲突</t>
    <phoneticPr fontId="2" type="noConversion"/>
  </si>
  <si>
    <t>T_CsiRs_2</t>
    <phoneticPr fontId="2" type="noConversion"/>
  </si>
  <si>
    <t>T_CsiRs_3</t>
    <phoneticPr fontId="2" type="noConversion"/>
  </si>
  <si>
    <t>T_CsiRs_4</t>
    <phoneticPr fontId="2" type="noConversion"/>
  </si>
  <si>
    <t>Tsr_2</t>
    <phoneticPr fontId="2" type="noConversion"/>
  </si>
  <si>
    <t>Tsr_3</t>
    <phoneticPr fontId="2" type="noConversion"/>
  </si>
  <si>
    <t>Tsrs_AS_3</t>
  </si>
  <si>
    <t>Tsrs_AS_4</t>
  </si>
  <si>
    <t>Srs_off_3(slot)</t>
  </si>
  <si>
    <t>CsiRs_off_1</t>
  </si>
  <si>
    <t>CsiRs_off_2</t>
  </si>
  <si>
    <t>CsiRs_off_3</t>
  </si>
  <si>
    <t>CsiRs_off_4</t>
  </si>
  <si>
    <t>Csi_off</t>
  </si>
  <si>
    <t>Sr_off_1</t>
  </si>
  <si>
    <t>Sr_off_2</t>
  </si>
  <si>
    <t>Sr_off_3</t>
  </si>
  <si>
    <t>GAP</t>
    <phoneticPr fontId="2" type="noConversion"/>
  </si>
  <si>
    <t>CSIRS</t>
    <phoneticPr fontId="2" type="noConversion"/>
  </si>
  <si>
    <t>CSI</t>
    <phoneticPr fontId="2" type="noConversion"/>
  </si>
  <si>
    <t>SR</t>
    <phoneticPr fontId="2" type="noConversion"/>
  </si>
  <si>
    <t>DRX</t>
    <phoneticPr fontId="2" type="noConversion"/>
  </si>
  <si>
    <t>小区级别各UE时域资源分布图</t>
    <phoneticPr fontId="2" type="noConversion"/>
  </si>
  <si>
    <t>Tsrs_CB_1</t>
    <phoneticPr fontId="2" type="noConversion"/>
  </si>
  <si>
    <t>Tsrs_AS_2</t>
    <phoneticPr fontId="2" type="noConversion"/>
  </si>
  <si>
    <t>Srs_off_4(slot)</t>
    <phoneticPr fontId="2" type="noConversion"/>
  </si>
  <si>
    <t>T_CsiRs_1</t>
    <phoneticPr fontId="2" type="noConversion"/>
  </si>
  <si>
    <t>TCsi</t>
    <phoneticPr fontId="2" type="noConversion"/>
  </si>
  <si>
    <t>Tsr_1</t>
    <phoneticPr fontId="2" type="noConversion"/>
  </si>
  <si>
    <t>DRX_LongCycle(ms)</t>
    <phoneticPr fontId="2" type="noConversion"/>
  </si>
  <si>
    <t>DRX_startoff(ms)</t>
    <phoneticPr fontId="2" type="noConversion"/>
  </si>
  <si>
    <t>DRX_onduration(ms)</t>
    <phoneticPr fontId="2" type="noConversion"/>
  </si>
  <si>
    <t xml:space="preserve">drx-Slotoff </t>
    <phoneticPr fontId="2" type="noConversion"/>
  </si>
  <si>
    <t>PRB位于低频位置索引1</t>
  </si>
  <si>
    <t>PRB位于高频位置索引1</t>
  </si>
  <si>
    <t>PRB位于高频位置索引2</t>
  </si>
  <si>
    <t>PRB位于低频位置索引2</t>
  </si>
  <si>
    <t>locationAndBandwidth</t>
  </si>
  <si>
    <t>BWP1</t>
    <phoneticPr fontId="2" type="noConversion"/>
  </si>
  <si>
    <t>小区内分配的PucchAckSet0资源的套数</t>
  </si>
  <si>
    <t>msg1-FDM</t>
    <phoneticPr fontId="2" type="noConversion"/>
  </si>
  <si>
    <t>PUCCH Format1的单PRB承载的循环移位数量</t>
    <phoneticPr fontId="8" type="noConversion"/>
  </si>
  <si>
    <r>
      <t>Set1</t>
    </r>
    <r>
      <rPr>
        <sz val="10"/>
        <rFont val="宋体"/>
        <family val="3"/>
        <charset val="134"/>
        <scheme val="minor"/>
      </rPr>
      <t>的Pucch个数</t>
    </r>
    <phoneticPr fontId="8" type="noConversion"/>
  </si>
  <si>
    <t>set0占用PRB数量</t>
    <phoneticPr fontId="8" type="noConversion"/>
  </si>
  <si>
    <t>无线帧格式format</t>
    <phoneticPr fontId="8" type="noConversion"/>
  </si>
  <si>
    <r>
      <t>CQI</t>
    </r>
    <r>
      <rPr>
        <sz val="10"/>
        <rFont val="宋体"/>
        <family val="3"/>
        <charset val="134"/>
        <scheme val="minor"/>
      </rPr>
      <t>占用的PRB个数</t>
    </r>
    <phoneticPr fontId="8" type="noConversion"/>
  </si>
  <si>
    <t>网咯制式</t>
    <phoneticPr fontId="2" type="noConversion"/>
  </si>
  <si>
    <t>TDD</t>
  </si>
  <si>
    <t>各BWP pucch第X个资源编号</t>
    <phoneticPr fontId="2" type="noConversion"/>
  </si>
  <si>
    <t>判断startingPRB是否满足△RB</t>
    <phoneticPr fontId="2" type="noConversion"/>
  </si>
  <si>
    <t>判断HopPRB是否满足△RB</t>
    <phoneticPr fontId="2" type="noConversion"/>
  </si>
  <si>
    <t>Format1 单PRB非跳频时内部资源分配顺序（跳频时仅加粗数字对应位置可用）</t>
    <phoneticPr fontId="2" type="noConversion"/>
  </si>
  <si>
    <t>secondHopPRB</t>
    <phoneticPr fontId="2" type="noConversion"/>
  </si>
  <si>
    <t>Cyclicshift 6</t>
    <phoneticPr fontId="2" type="noConversion"/>
  </si>
  <si>
    <r>
      <t>4</t>
    </r>
    <r>
      <rPr>
        <sz val="10.5"/>
        <color theme="1"/>
        <rFont val="宋体"/>
        <family val="3"/>
        <charset val="134"/>
      </rPr>
      <t>符号</t>
    </r>
  </si>
  <si>
    <r>
      <t>6</t>
    </r>
    <r>
      <rPr>
        <sz val="10.5"/>
        <color theme="1"/>
        <rFont val="宋体"/>
        <family val="3"/>
        <charset val="134"/>
      </rPr>
      <t>符号</t>
    </r>
  </si>
  <si>
    <r>
      <t>14</t>
    </r>
    <r>
      <rPr>
        <sz val="10.5"/>
        <color theme="1"/>
        <rFont val="宋体"/>
        <family val="3"/>
        <charset val="134"/>
      </rPr>
      <t>符号</t>
    </r>
  </si>
  <si>
    <t>跳频前</t>
  </si>
  <si>
    <t>跳频后</t>
  </si>
  <si>
    <r>
      <t>OCC</t>
    </r>
    <r>
      <rPr>
        <sz val="10.5"/>
        <color theme="1"/>
        <rFont val="宋体"/>
        <family val="3"/>
        <charset val="134"/>
      </rPr>
      <t>容量</t>
    </r>
  </si>
  <si>
    <t>mgl(ms)</t>
    <phoneticPr fontId="2" type="noConversion"/>
  </si>
  <si>
    <t>Gap_off(ms)</t>
    <phoneticPr fontId="2" type="noConversion"/>
  </si>
  <si>
    <t>Srs_off_1(slot)</t>
    <phoneticPr fontId="2" type="noConversion"/>
  </si>
  <si>
    <t>初始BWP图示</t>
    <phoneticPr fontId="2" type="noConversion"/>
  </si>
  <si>
    <t>专用BWP1图示</t>
    <phoneticPr fontId="2" type="noConversion"/>
  </si>
  <si>
    <t>专用BWP2图示</t>
    <phoneticPr fontId="2" type="noConversion"/>
  </si>
  <si>
    <t>频域位置编号</t>
    <phoneticPr fontId="2" type="noConversion"/>
  </si>
  <si>
    <t>PUCCHCOMMON</t>
    <phoneticPr fontId="2" type="noConversion"/>
  </si>
  <si>
    <t>PRACH</t>
    <phoneticPr fontId="2" type="noConversion"/>
  </si>
  <si>
    <t>PUCCHCOMON
PRB位于低频位置索引1</t>
    <phoneticPr fontId="2" type="noConversion"/>
  </si>
  <si>
    <t>小区SSB及小区中心频点计算过程（本表中黄色区域为可编辑的输入区域，绿色为结果自动输出区域,38104）</t>
    <phoneticPr fontId="2" type="noConversion"/>
  </si>
  <si>
    <t>NR频段</t>
    <phoneticPr fontId="52" type="noConversion"/>
  </si>
  <si>
    <t>NR带宽（M）</t>
    <phoneticPr fontId="52" type="noConversion"/>
  </si>
  <si>
    <t>子载波间隔（khz）</t>
    <phoneticPr fontId="52" type="noConversion"/>
  </si>
  <si>
    <t>NREF-SSB中心频点（0~599999）</t>
    <phoneticPr fontId="52" type="noConversion"/>
  </si>
  <si>
    <t>SSB中心频点（khz）</t>
    <phoneticPr fontId="52" type="noConversion"/>
  </si>
  <si>
    <t>M</t>
    <phoneticPr fontId="52" type="noConversion"/>
  </si>
  <si>
    <t>N
（1~2499）</t>
    <phoneticPr fontId="52" type="noConversion"/>
  </si>
  <si>
    <t>GSCN</t>
    <phoneticPr fontId="52" type="noConversion"/>
  </si>
  <si>
    <t>NREF-小区中心频点（0~599999）</t>
    <phoneticPr fontId="52" type="noConversion"/>
  </si>
  <si>
    <t>小区中心频点(khz)</t>
    <phoneticPr fontId="52" type="noConversion"/>
  </si>
  <si>
    <t>NR测量带宽对应PRB数量</t>
    <phoneticPr fontId="52" type="noConversion"/>
  </si>
  <si>
    <t>pointA</t>
    <phoneticPr fontId="52" type="noConversion"/>
  </si>
  <si>
    <t>测量带宽的prb起始频点</t>
    <phoneticPr fontId="52" type="noConversion"/>
  </si>
  <si>
    <t>ssb中心频点对应的prbindex</t>
    <phoneticPr fontId="52" type="noConversion"/>
  </si>
  <si>
    <t>SSB对应起点CRB</t>
    <phoneticPr fontId="52" type="noConversion"/>
  </si>
  <si>
    <t>Type0 CSS的频域位置索引38213
(ccoreset0)</t>
    <phoneticPr fontId="2" type="noConversion"/>
  </si>
  <si>
    <t>ccoreset0相对SSB的offset</t>
    <phoneticPr fontId="2" type="noConversion"/>
  </si>
  <si>
    <t>ccoreset0带宽</t>
    <phoneticPr fontId="2" type="noConversion"/>
  </si>
  <si>
    <t>ccoreset0起始RB</t>
    <phoneticPr fontId="2" type="noConversion"/>
  </si>
  <si>
    <t>基站侧计算RIV过程：</t>
    <phoneticPr fontId="2" type="noConversion"/>
  </si>
  <si>
    <t>BWP类别</t>
    <phoneticPr fontId="2" type="noConversion"/>
  </si>
  <si>
    <r>
      <t>BWP</t>
    </r>
    <r>
      <rPr>
        <sz val="10"/>
        <rFont val="宋体"/>
        <family val="3"/>
        <charset val="134"/>
      </rPr>
      <t>带宽</t>
    </r>
    <phoneticPr fontId="8" type="noConversion"/>
  </si>
  <si>
    <r>
      <t>BWP</t>
    </r>
    <r>
      <rPr>
        <sz val="10"/>
        <rFont val="宋体"/>
        <family val="3"/>
        <charset val="134"/>
      </rPr>
      <t>频域起始位置</t>
    </r>
    <phoneticPr fontId="8" type="noConversion"/>
  </si>
  <si>
    <t>RIV</t>
    <phoneticPr fontId="2" type="noConversion"/>
  </si>
  <si>
    <t>NR小区初始上行BWP参数</t>
    <phoneticPr fontId="2" type="noConversion"/>
  </si>
  <si>
    <t>NR小区上行BWP参数(BWP1)</t>
    <phoneticPr fontId="2" type="noConversion"/>
  </si>
  <si>
    <t>NR小区上行BWP参数(BWP2)</t>
    <phoneticPr fontId="2" type="noConversion"/>
  </si>
  <si>
    <t>终端收到RIV后计算BWP带宽和起始RB位置</t>
    <phoneticPr fontId="2" type="noConversion"/>
  </si>
  <si>
    <t>PUcch-ResourceCommon</t>
    <phoneticPr fontId="2" type="noConversion"/>
  </si>
  <si>
    <t>基于协议计算PUCCHCOMMON在初始BWP位置</t>
    <phoneticPr fontId="2" type="noConversion"/>
  </si>
  <si>
    <t>基于-B限制计算PUCCHCOMMON在初始BWP位置</t>
    <phoneticPr fontId="2" type="noConversion"/>
  </si>
  <si>
    <t>参数名称</t>
    <phoneticPr fontId="2" type="noConversion"/>
  </si>
  <si>
    <t>BWP编号</t>
    <phoneticPr fontId="2" type="noConversion"/>
  </si>
  <si>
    <t>输入值</t>
    <phoneticPr fontId="2" type="noConversion"/>
  </si>
  <si>
    <t>BWP起始RB</t>
    <phoneticPr fontId="2" type="noConversion"/>
  </si>
  <si>
    <t>BWP带宽</t>
    <phoneticPr fontId="2" type="noConversion"/>
  </si>
  <si>
    <t>RMSI value</t>
    <phoneticPr fontId="2" type="noConversion"/>
  </si>
  <si>
    <t>PUCCHCOMM资源占用的PRB个数限制</t>
    <phoneticPr fontId="2" type="noConversion"/>
  </si>
  <si>
    <t>Cell-specific PRB offset</t>
    <phoneticPr fontId="2" type="noConversion"/>
  </si>
  <si>
    <t>Initial CS index set（num）</t>
    <phoneticPr fontId="2" type="noConversion"/>
  </si>
  <si>
    <t>PRB位于低频位置索引2</t>
    <phoneticPr fontId="2" type="noConversion"/>
  </si>
  <si>
    <t>BWP0</t>
    <phoneticPr fontId="2" type="noConversion"/>
  </si>
  <si>
    <t>BWP2</t>
    <phoneticPr fontId="2" type="noConversion"/>
  </si>
  <si>
    <t>PRACH(SIB1配置)</t>
    <phoneticPr fontId="2" type="noConversion"/>
  </si>
  <si>
    <t xml:space="preserve">  输入值</t>
    <phoneticPr fontId="2" type="noConversion"/>
  </si>
  <si>
    <t>对应PRACH格式</t>
    <phoneticPr fontId="2" type="noConversion"/>
  </si>
  <si>
    <t>prach子载波间隔</t>
    <phoneticPr fontId="2" type="noConversion"/>
  </si>
  <si>
    <t>allocation expressed in nuboer of rbs for pusch</t>
    <phoneticPr fontId="2" type="noConversion"/>
  </si>
  <si>
    <t>PRACH总计占用PRB</t>
    <phoneticPr fontId="2" type="noConversion"/>
  </si>
  <si>
    <r>
      <t>PRACH在BWP0内的起始</t>
    </r>
    <r>
      <rPr>
        <b/>
        <sz val="10"/>
        <rFont val="宋体"/>
        <family val="3"/>
        <charset val="134"/>
        <scheme val="minor"/>
      </rPr>
      <t>PRB</t>
    </r>
    <r>
      <rPr>
        <sz val="10"/>
        <rFont val="宋体"/>
        <family val="3"/>
        <charset val="134"/>
        <scheme val="minor"/>
      </rPr>
      <t>索引</t>
    </r>
    <phoneticPr fontId="2" type="noConversion"/>
  </si>
  <si>
    <r>
      <t>PRACH在BWP1内的起始</t>
    </r>
    <r>
      <rPr>
        <b/>
        <sz val="10"/>
        <rFont val="宋体"/>
        <family val="3"/>
        <charset val="134"/>
        <scheme val="minor"/>
      </rPr>
      <t>PRB</t>
    </r>
    <r>
      <rPr>
        <sz val="10"/>
        <rFont val="宋体"/>
        <family val="3"/>
        <charset val="134"/>
        <scheme val="minor"/>
      </rPr>
      <t>索引</t>
    </r>
    <phoneticPr fontId="2" type="noConversion"/>
  </si>
  <si>
    <r>
      <t>PRACH在BWP2内的起始</t>
    </r>
    <r>
      <rPr>
        <b/>
        <sz val="10"/>
        <rFont val="宋体"/>
        <family val="3"/>
        <charset val="134"/>
        <scheme val="minor"/>
      </rPr>
      <t>PRB</t>
    </r>
    <r>
      <rPr>
        <sz val="10"/>
        <rFont val="宋体"/>
        <family val="3"/>
        <charset val="134"/>
        <scheme val="minor"/>
      </rPr>
      <t>索引</t>
    </r>
    <phoneticPr fontId="2" type="noConversion"/>
  </si>
  <si>
    <t>prach-configurationIndex</t>
    <phoneticPr fontId="2" type="noConversion"/>
  </si>
  <si>
    <t>msg1-FrequencyStart(BWP1)</t>
    <phoneticPr fontId="2" type="noConversion"/>
  </si>
  <si>
    <t>msg1-FrequencyStart(BWP2)</t>
    <phoneticPr fontId="2" type="noConversion"/>
  </si>
  <si>
    <t>msg1-FrequencyStart（BWP0）</t>
    <phoneticPr fontId="2" type="noConversion"/>
  </si>
  <si>
    <t>prach子载波间隔指示(khz)</t>
    <phoneticPr fontId="2" type="noConversion"/>
  </si>
  <si>
    <t>Nr小区数据信道子载波间隔</t>
    <phoneticPr fontId="2" type="noConversion"/>
  </si>
  <si>
    <t>BWP1（分组1）</t>
    <phoneticPr fontId="2" type="noConversion"/>
  </si>
  <si>
    <t>各resoure对应的资源属性</t>
    <phoneticPr fontId="2" type="noConversion"/>
  </si>
  <si>
    <t>频域位置图示生成原始数据</t>
    <phoneticPr fontId="2" type="noConversion"/>
  </si>
  <si>
    <t>自动生成结果</t>
    <phoneticPr fontId="2" type="noConversion"/>
  </si>
  <si>
    <t>BWP0起始RB</t>
    <phoneticPr fontId="2" type="noConversion"/>
  </si>
  <si>
    <t>BWP0带宽</t>
    <phoneticPr fontId="2" type="noConversion"/>
  </si>
  <si>
    <t>PRACH在BWP0内的起始PRB索引</t>
    <phoneticPr fontId="2" type="noConversion"/>
  </si>
  <si>
    <t>PRACH总计占用PRB</t>
    <phoneticPr fontId="2" type="noConversion"/>
  </si>
  <si>
    <t>PRB位于低频位置索引2</t>
    <phoneticPr fontId="2" type="noConversion"/>
  </si>
  <si>
    <t>PUCCHCOMON
PRB位于高频位置索引1</t>
    <phoneticPr fontId="2" type="noConversion"/>
  </si>
  <si>
    <t>carrierBandwidth</t>
    <phoneticPr fontId="2" type="noConversion"/>
  </si>
  <si>
    <t>initialUplinkBWP(BWP0)
locationAndBandwidth</t>
    <phoneticPr fontId="2" type="noConversion"/>
  </si>
  <si>
    <t>BWP1起始RB</t>
    <phoneticPr fontId="2" type="noConversion"/>
  </si>
  <si>
    <t>BWP1带宽</t>
    <phoneticPr fontId="2" type="noConversion"/>
  </si>
  <si>
    <t>PRACH在BWP1内的起始PRB索引</t>
    <phoneticPr fontId="2" type="noConversion"/>
  </si>
  <si>
    <t>subcarrierSpacing</t>
    <phoneticPr fontId="2" type="noConversion"/>
  </si>
  <si>
    <t>prach-ConfigurationIndex</t>
    <phoneticPr fontId="2" type="noConversion"/>
  </si>
  <si>
    <t>BWP2起始RB</t>
    <phoneticPr fontId="2" type="noConversion"/>
  </si>
  <si>
    <t>BWP2带宽</t>
    <phoneticPr fontId="2" type="noConversion"/>
  </si>
  <si>
    <t>PRACH在BWP2内的起始PRB索引</t>
    <phoneticPr fontId="2" type="noConversion"/>
  </si>
  <si>
    <t>pucch-ResourceCommon</t>
    <phoneticPr fontId="2" type="noConversion"/>
  </si>
  <si>
    <t>uplinkBWP-ToAddModList(BWP1)
locationAndBandwidth</t>
    <phoneticPr fontId="2" type="noConversion"/>
  </si>
  <si>
    <t>PUCCH专用资源SR</t>
    <phoneticPr fontId="8" type="noConversion"/>
  </si>
  <si>
    <t>输入值</t>
    <phoneticPr fontId="2" type="noConversion"/>
  </si>
  <si>
    <t>PUCCH专用资源set/cqi</t>
    <phoneticPr fontId="8" type="noConversion"/>
  </si>
  <si>
    <t>F1单PRB支持用户数</t>
    <phoneticPr fontId="8" type="noConversion"/>
  </si>
  <si>
    <t>se1占用PRB数量</t>
    <phoneticPr fontId="8" type="noConversion"/>
  </si>
  <si>
    <t>SR周期(slot)</t>
    <phoneticPr fontId="2" type="noConversion"/>
  </si>
  <si>
    <t>单时隙SR占用信道数</t>
    <phoneticPr fontId="2" type="noConversion"/>
  </si>
  <si>
    <r>
      <t>Set0</t>
    </r>
    <r>
      <rPr>
        <sz val="10"/>
        <rFont val="宋体"/>
        <family val="3"/>
        <charset val="134"/>
        <scheme val="minor"/>
      </rPr>
      <t>的pucch个数</t>
    </r>
    <phoneticPr fontId="8" type="noConversion"/>
  </si>
  <si>
    <t>SR单时隙占用PRB数量</t>
    <phoneticPr fontId="2" type="noConversion"/>
  </si>
  <si>
    <t>CQI占用PRB数量</t>
    <phoneticPr fontId="8" type="noConversion"/>
  </si>
  <si>
    <t>F1时隙内跳频开关</t>
    <phoneticPr fontId="8" type="noConversion"/>
  </si>
  <si>
    <t>小区内分配的PucchAckSet1资源的套数</t>
    <phoneticPr fontId="8" type="noConversion"/>
  </si>
  <si>
    <t>uplinkBWP-ToAddModList(BWP2)
locationAndBandwidth</t>
    <phoneticPr fontId="2" type="noConversion"/>
  </si>
  <si>
    <t>PUCCHCOMM资源占用的PRB个数限制</t>
    <phoneticPr fontId="8" type="noConversion"/>
  </si>
  <si>
    <t>从-B获取手动输入的参数</t>
    <phoneticPr fontId="2" type="noConversion"/>
  </si>
  <si>
    <t>pucch（无common）</t>
    <phoneticPr fontId="8" type="noConversion"/>
  </si>
  <si>
    <t>目录索引</t>
  </si>
  <si>
    <t>各资源时域分配原始数据</t>
  </si>
  <si>
    <t>SR</t>
    <phoneticPr fontId="2" type="noConversion"/>
  </si>
  <si>
    <t>ue索引</t>
    <phoneticPr fontId="2" type="noConversion"/>
  </si>
  <si>
    <t>pucch-ResourceId</t>
  </si>
  <si>
    <t xml:space="preserve">schedulingRequestID </t>
  </si>
  <si>
    <t>startingPRB</t>
    <phoneticPr fontId="2" type="noConversion"/>
  </si>
  <si>
    <t>initialCyclicShift</t>
    <phoneticPr fontId="2" type="noConversion"/>
  </si>
  <si>
    <t>timeDomainOCC</t>
    <phoneticPr fontId="2" type="noConversion"/>
  </si>
  <si>
    <t>periodicity</t>
    <phoneticPr fontId="2" type="noConversion"/>
  </si>
  <si>
    <t>Offset</t>
  </si>
  <si>
    <t>initialCyclicShift</t>
    <phoneticPr fontId="2" type="noConversion"/>
  </si>
  <si>
    <t>timeDomainOCC</t>
    <phoneticPr fontId="2" type="noConversion"/>
  </si>
  <si>
    <t>备注</t>
    <phoneticPr fontId="2" type="noConversion"/>
  </si>
  <si>
    <t>15:27:36:391</t>
    <phoneticPr fontId="2" type="noConversion"/>
  </si>
  <si>
    <t>0/1</t>
    <phoneticPr fontId="2" type="noConversion"/>
  </si>
  <si>
    <t>SRS</t>
    <phoneticPr fontId="2" type="noConversion"/>
  </si>
  <si>
    <t>CSIRS</t>
    <phoneticPr fontId="2" type="noConversion"/>
  </si>
  <si>
    <t>CSI</t>
    <phoneticPr fontId="2" type="noConversion"/>
  </si>
  <si>
    <t>DRX</t>
    <phoneticPr fontId="2" type="noConversion"/>
  </si>
  <si>
    <t>公共资源</t>
    <phoneticPr fontId="2" type="noConversion"/>
  </si>
  <si>
    <t>BWP1</t>
    <phoneticPr fontId="2" type="noConversion"/>
  </si>
  <si>
    <t>BWP2</t>
    <phoneticPr fontId="2" type="noConversion"/>
  </si>
  <si>
    <t>BWP ID</t>
    <phoneticPr fontId="2" type="noConversion"/>
  </si>
  <si>
    <t>BWP编号</t>
    <phoneticPr fontId="2" type="noConversion"/>
  </si>
  <si>
    <t>SR</t>
    <phoneticPr fontId="2" type="noConversion"/>
  </si>
  <si>
    <t>UE级别时域资源分布图</t>
    <phoneticPr fontId="2" type="noConversion"/>
  </si>
  <si>
    <t>PUCCHCOMMON</t>
    <phoneticPr fontId="2" type="noConversion"/>
  </si>
  <si>
    <t>SRS</t>
    <phoneticPr fontId="2" type="noConversion"/>
  </si>
  <si>
    <t>时隙编号</t>
    <phoneticPr fontId="2" type="noConversion"/>
  </si>
  <si>
    <t>UE INDEX</t>
    <phoneticPr fontId="2" type="noConversion"/>
  </si>
  <si>
    <t>codebook</t>
    <phoneticPr fontId="2" type="noConversion"/>
  </si>
  <si>
    <t>Srs_off_2(slot)</t>
    <phoneticPr fontId="2" type="noConversion"/>
  </si>
  <si>
    <t>mgrp(ms)</t>
    <phoneticPr fontId="2" type="noConversion"/>
  </si>
  <si>
    <t>gap、drx&amp;各资源位置关系是否满足设计要求</t>
    <phoneticPr fontId="2" type="noConversion"/>
  </si>
  <si>
    <t>UE索引及时间戳/子帧结构</t>
    <phoneticPr fontId="2" type="noConversion"/>
  </si>
  <si>
    <t>110商用完善</t>
  </si>
  <si>
    <t>UE级别时域资源拓扑</t>
  </si>
  <si>
    <t>Time</t>
    <phoneticPr fontId="2" type="noConversion"/>
  </si>
  <si>
    <t>BWPID</t>
    <phoneticPr fontId="2" type="noConversion"/>
  </si>
  <si>
    <t>冲突判定</t>
    <phoneticPr fontId="2" type="noConversion"/>
  </si>
  <si>
    <t>PUCCHCOMMON</t>
    <phoneticPr fontId="2" type="noConversion"/>
  </si>
  <si>
    <t>PRACH</t>
    <phoneticPr fontId="2" type="noConversion"/>
  </si>
  <si>
    <t>SR</t>
    <phoneticPr fontId="2" type="noConversion"/>
  </si>
  <si>
    <t>ACK/NACK SET0</t>
    <phoneticPr fontId="2" type="noConversion"/>
  </si>
  <si>
    <t>ACK/NACK SET1</t>
    <phoneticPr fontId="2" type="noConversion"/>
  </si>
  <si>
    <t>CSI</t>
    <phoneticPr fontId="2" type="noConversion"/>
  </si>
  <si>
    <t>颜色值</t>
    <phoneticPr fontId="2" type="noConversion"/>
  </si>
  <si>
    <t>代表含义</t>
    <phoneticPr fontId="2" type="noConversion"/>
  </si>
  <si>
    <t>编号</t>
    <phoneticPr fontId="2" type="noConversion"/>
  </si>
  <si>
    <t>UR第几次接入</t>
    <phoneticPr fontId="2" type="noConversion"/>
  </si>
  <si>
    <t>UE第几次接入</t>
    <phoneticPr fontId="2" type="noConversion"/>
  </si>
  <si>
    <t>SRSandGAP原始数据</t>
  </si>
  <si>
    <t>PRACHandPUCCH频域位置填写</t>
  </si>
  <si>
    <t>PRACHandPUCCH频域位置图示</t>
  </si>
  <si>
    <t>PUCCHSR信道分配原始数据</t>
  </si>
  <si>
    <t>PUCCHSet0PRB级资源分配</t>
  </si>
  <si>
    <t>附录SRS多端口资源计算</t>
  </si>
  <si>
    <t>SrsBandwidthConfiguration</t>
  </si>
  <si>
    <t>pucch测试日志</t>
    <phoneticPr fontId="2" type="noConversion"/>
  </si>
  <si>
    <t>小区级时域资源拓扑</t>
  </si>
  <si>
    <t>periodicityAndOffset-p</t>
    <phoneticPr fontId="2" type="noConversion"/>
  </si>
  <si>
    <t>单子帧包含的时隙个数</t>
    <phoneticPr fontId="2" type="noConversion"/>
  </si>
  <si>
    <r>
      <t>各</t>
    </r>
    <r>
      <rPr>
        <sz val="11"/>
        <color rgb="FFFF0000"/>
        <rFont val="宋体"/>
        <family val="3"/>
        <charset val="134"/>
        <scheme val="minor"/>
      </rPr>
      <t xml:space="preserve">rssourece    </t>
    </r>
    <r>
      <rPr>
        <sz val="11"/>
        <color theme="1"/>
        <rFont val="宋体"/>
        <family val="2"/>
        <scheme val="minor"/>
      </rPr>
      <t xml:space="preserve"> srs落入GAP冲突比例</t>
    </r>
    <phoneticPr fontId="2" type="noConversion"/>
  </si>
  <si>
    <r>
      <t>各</t>
    </r>
    <r>
      <rPr>
        <sz val="11"/>
        <color rgb="FFFF0000"/>
        <rFont val="宋体"/>
        <family val="3"/>
        <charset val="134"/>
        <scheme val="minor"/>
      </rPr>
      <t>BWP</t>
    </r>
    <r>
      <rPr>
        <sz val="11"/>
        <color theme="1"/>
        <rFont val="宋体"/>
        <family val="2"/>
        <scheme val="minor"/>
      </rPr>
      <t>上</t>
    </r>
    <r>
      <rPr>
        <sz val="11"/>
        <color theme="1"/>
        <rFont val="宋体"/>
        <family val="3"/>
        <charset val="134"/>
        <scheme val="minor"/>
      </rPr>
      <t xml:space="preserve">        </t>
    </r>
    <r>
      <rPr>
        <sz val="11"/>
        <color theme="1"/>
        <rFont val="宋体"/>
        <family val="2"/>
        <scheme val="minor"/>
      </rPr>
      <t>SRS与GAP冲突概率</t>
    </r>
    <phoneticPr fontId="2" type="noConversion"/>
  </si>
  <si>
    <t>需要提取的对应ue1_id</t>
    <phoneticPr fontId="2" type="noConversion"/>
  </si>
  <si>
    <t>需要提取的对应ue2_id</t>
    <phoneticPr fontId="2" type="noConversion"/>
  </si>
  <si>
    <t>sr</t>
    <phoneticPr fontId="2" type="noConversion"/>
  </si>
  <si>
    <t>N.05</t>
    <phoneticPr fontId="2" type="noConversion"/>
  </si>
  <si>
    <t>pucch-ResourceId 1</t>
    <phoneticPr fontId="2" type="noConversion"/>
  </si>
  <si>
    <t>set0</t>
    <phoneticPr fontId="2" type="noConversion"/>
  </si>
  <si>
    <t>pucch-ResourceId 2</t>
    <phoneticPr fontId="2" type="noConversion"/>
  </si>
  <si>
    <t>set1</t>
    <phoneticPr fontId="2" type="noConversion"/>
  </si>
  <si>
    <t>N.03</t>
    <phoneticPr fontId="2" type="noConversion"/>
  </si>
  <si>
    <t>csi</t>
    <phoneticPr fontId="2" type="noConversion"/>
  </si>
  <si>
    <t>N.04</t>
    <phoneticPr fontId="2" type="noConversion"/>
  </si>
  <si>
    <t>N.02</t>
    <phoneticPr fontId="2" type="noConversion"/>
  </si>
  <si>
    <t>N.06</t>
    <phoneticPr fontId="2" type="noConversion"/>
  </si>
  <si>
    <t>N.01</t>
    <phoneticPr fontId="2" type="noConversion"/>
  </si>
  <si>
    <t>OCC（0-6）</t>
    <phoneticPr fontId="2" type="noConversion"/>
  </si>
  <si>
    <t>Cyclicshift 5</t>
    <phoneticPr fontId="2" type="noConversion"/>
  </si>
  <si>
    <t>pucch-ResourceId 24</t>
    <phoneticPr fontId="2" type="noConversion"/>
  </si>
  <si>
    <t>Cyclicshift 4</t>
    <phoneticPr fontId="2" type="noConversion"/>
  </si>
  <si>
    <t>自动录入参数</t>
    <phoneticPr fontId="2" type="noConversion"/>
  </si>
  <si>
    <t>freqBandIndicatorNR</t>
    <phoneticPr fontId="2" type="noConversion"/>
  </si>
  <si>
    <t>msg1-FDM</t>
    <phoneticPr fontId="2" type="noConversion"/>
  </si>
  <si>
    <t>msg1-FrequencyStart</t>
    <phoneticPr fontId="2" type="noConversion"/>
  </si>
  <si>
    <t>各resoure对应的资源属性</t>
    <phoneticPr fontId="2" type="noConversion"/>
  </si>
  <si>
    <t>BWP2（分组2）</t>
    <phoneticPr fontId="2" type="noConversion"/>
  </si>
  <si>
    <t>secondHopPRB</t>
    <phoneticPr fontId="2" type="noConversion"/>
  </si>
  <si>
    <t>startingPRB</t>
    <phoneticPr fontId="2" type="noConversion"/>
  </si>
  <si>
    <t>pucch-ResourceId 0</t>
    <phoneticPr fontId="2" type="noConversion"/>
  </si>
  <si>
    <t>BWP1（分组2）</t>
    <phoneticPr fontId="2" type="noConversion"/>
  </si>
  <si>
    <t>BWP2（分组1）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</si>
</sst>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 &quot;¥&quot;* #,##0_ ;_ &quot;¥&quot;* \-#,##0_ ;_ &quot;¥&quot;* &quot;-&quot;_ ;_ @_ "/>
    <numFmt numFmtId="41" formatCode="_ * #,##0_ ;_ * \-#,##0_ ;_ 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&quot;开&quot;;&quot;开&quot;;&quot;关&quot;"/>
  </numFmts>
  <fonts count="92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0"/>
      <name val="Times New Roman"/>
      <family val="1"/>
    </font>
    <font>
      <sz val="9"/>
      <color indexed="10"/>
      <name val="Times New Roman"/>
      <family val="1"/>
    </font>
    <font>
      <u/>
      <sz val="12"/>
      <color theme="11"/>
      <name val="宋体"/>
      <family val="3"/>
      <charset val="134"/>
    </font>
    <font>
      <strike/>
      <sz val="9"/>
      <color indexed="21"/>
      <name val="Times New Roman"/>
      <family val="1"/>
    </font>
    <font>
      <sz val="12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trike/>
      <sz val="9"/>
      <name val="宋体"/>
      <family val="3"/>
      <charset val="134"/>
    </font>
    <font>
      <sz val="12"/>
      <name val="Times New Roman"/>
      <family val="1"/>
    </font>
    <font>
      <b/>
      <sz val="9"/>
      <color indexed="8"/>
      <name val="Times New Roman"/>
      <family val="1"/>
    </font>
    <font>
      <sz val="9"/>
      <color indexed="22"/>
      <name val="宋体"/>
      <family val="3"/>
      <charset val="134"/>
    </font>
    <font>
      <sz val="10"/>
      <color indexed="10"/>
      <name val="宋体"/>
      <family val="3"/>
      <charset val="134"/>
    </font>
    <font>
      <sz val="8"/>
      <color indexed="8"/>
      <name val="宋体"/>
      <family val="3"/>
      <charset val="134"/>
    </font>
    <font>
      <b/>
      <u/>
      <sz val="9"/>
      <color indexed="12"/>
      <name val="Arial"/>
      <family val="2"/>
    </font>
    <font>
      <b/>
      <sz val="9"/>
      <color indexed="10"/>
      <name val="Times New Roman"/>
      <family val="1"/>
    </font>
    <font>
      <sz val="9"/>
      <color indexed="12"/>
      <name val="宋体"/>
      <family val="3"/>
      <charset val="134"/>
    </font>
    <font>
      <i/>
      <u/>
      <sz val="9"/>
      <color indexed="52"/>
      <name val="Times New Roman"/>
      <family val="1"/>
    </font>
    <font>
      <b/>
      <sz val="11"/>
      <color rgb="FF3F3F3F"/>
      <name val="宋体"/>
      <family val="3"/>
      <charset val="134"/>
      <scheme val="minor"/>
    </font>
    <font>
      <sz val="9"/>
      <color indexed="12"/>
      <name val="Times New Roman"/>
      <family val="1"/>
    </font>
    <font>
      <b/>
      <sz val="9"/>
      <color indexed="16"/>
      <name val="Times New Roman"/>
      <family val="1"/>
    </font>
    <font>
      <b/>
      <strike/>
      <u/>
      <sz val="10"/>
      <color indexed="12"/>
      <name val="宋体"/>
      <family val="3"/>
      <charset val="134"/>
    </font>
    <font>
      <i/>
      <u/>
      <sz val="9"/>
      <color indexed="53"/>
      <name val="宋体"/>
      <family val="3"/>
      <charset val="134"/>
    </font>
    <font>
      <b/>
      <sz val="9"/>
      <color indexed="81"/>
      <name val="宋体"/>
      <family val="3"/>
      <charset val="134"/>
    </font>
    <font>
      <i/>
      <sz val="9"/>
      <color indexed="14"/>
      <name val="宋体"/>
      <family val="3"/>
      <charset val="134"/>
    </font>
    <font>
      <b/>
      <sz val="9"/>
      <color indexed="12"/>
      <name val="宋体"/>
      <family val="3"/>
      <charset val="134"/>
    </font>
    <font>
      <b/>
      <sz val="9"/>
      <name val="Times New Roman"/>
      <family val="1"/>
    </font>
    <font>
      <sz val="9"/>
      <color indexed="8"/>
      <name val="Times New Roman"/>
      <family val="1"/>
    </font>
    <font>
      <sz val="11"/>
      <color rgb="FFFA7D00"/>
      <name val="宋体"/>
      <family val="3"/>
      <charset val="134"/>
      <scheme val="minor"/>
    </font>
    <font>
      <b/>
      <sz val="12"/>
      <name val="Arial"/>
      <family val="2"/>
    </font>
    <font>
      <sz val="11"/>
      <color rgb="FF9C6500"/>
      <name val="宋体"/>
      <family val="3"/>
      <charset val="134"/>
      <scheme val="minor"/>
    </font>
    <font>
      <b/>
      <sz val="9"/>
      <color indexed="12"/>
      <name val="Times New Roman"/>
      <family val="1"/>
    </font>
    <font>
      <sz val="9"/>
      <color indexed="16"/>
      <name val="Times New Roman"/>
      <family val="1"/>
    </font>
    <font>
      <sz val="10"/>
      <name val="Arial"/>
      <family val="2"/>
    </font>
    <font>
      <b/>
      <sz val="9"/>
      <color indexed="18"/>
      <name val="Times New Roman"/>
      <family val="1"/>
    </font>
    <font>
      <sz val="11"/>
      <color rgb="FF3F3F76"/>
      <name val="宋体"/>
      <family val="3"/>
      <charset val="134"/>
      <scheme val="minor"/>
    </font>
    <font>
      <b/>
      <strike/>
      <sz val="9"/>
      <name val="Times New Roman"/>
      <family val="1"/>
    </font>
    <font>
      <i/>
      <u/>
      <sz val="9"/>
      <color indexed="53"/>
      <name val="Times New Roman"/>
      <family val="1"/>
    </font>
    <font>
      <sz val="9"/>
      <color indexed="14"/>
      <name val="Times New Roman"/>
      <family val="1"/>
    </font>
    <font>
      <sz val="9"/>
      <color indexed="10"/>
      <name val="宋体"/>
      <family val="3"/>
      <charset val="134"/>
    </font>
    <font>
      <i/>
      <sz val="9"/>
      <color indexed="14"/>
      <name val="Times New Roman"/>
      <family val="1"/>
    </font>
    <font>
      <b/>
      <sz val="9"/>
      <color indexed="21"/>
      <name val="Times New Roman"/>
      <family val="1"/>
    </font>
    <font>
      <sz val="11"/>
      <color indexed="8"/>
      <name val="宋体"/>
      <family val="3"/>
      <charset val="134"/>
    </font>
    <font>
      <sz val="12"/>
      <color indexed="8"/>
      <name val="宋体"/>
      <family val="3"/>
      <charset val="134"/>
    </font>
    <font>
      <b/>
      <i/>
      <sz val="9"/>
      <color indexed="14"/>
      <name val="Times New Roman"/>
      <family val="1"/>
    </font>
    <font>
      <b/>
      <sz val="10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color theme="1"/>
      <name val="微软雅黑"/>
      <family val="2"/>
      <charset val="134"/>
    </font>
    <font>
      <sz val="9"/>
      <name val="宋体"/>
      <family val="2"/>
      <charset val="134"/>
      <scheme val="minor"/>
    </font>
    <font>
      <sz val="9"/>
      <color theme="1"/>
      <name val="微软雅黑"/>
      <family val="2"/>
      <charset val="134"/>
    </font>
    <font>
      <sz val="11"/>
      <color rgb="FFFF0000"/>
      <name val="微软雅黑"/>
      <family val="2"/>
      <charset val="134"/>
    </font>
    <font>
      <b/>
      <u/>
      <sz val="11"/>
      <color rgb="FFFF0000"/>
      <name val="微软雅黑"/>
      <family val="2"/>
      <charset val="134"/>
    </font>
    <font>
      <sz val="11"/>
      <name val="微软雅黑"/>
      <family val="2"/>
      <charset val="134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10.5"/>
      <color theme="1"/>
      <name val="宋体"/>
      <family val="3"/>
      <charset val="134"/>
    </font>
    <font>
      <b/>
      <sz val="11"/>
      <color theme="0"/>
      <name val="宋体"/>
      <family val="3"/>
      <charset val="134"/>
      <scheme val="minor"/>
    </font>
    <font>
      <sz val="10"/>
      <color theme="1"/>
      <name val="Arial Unicode MS"/>
      <family val="2"/>
      <charset val="134"/>
    </font>
    <font>
      <sz val="11"/>
      <color theme="1"/>
      <name val="Arial Unicode MS"/>
      <family val="2"/>
      <charset val="134"/>
    </font>
    <font>
      <sz val="11"/>
      <name val="宋体"/>
      <family val="2"/>
      <scheme val="minor"/>
    </font>
    <font>
      <sz val="11"/>
      <name val="Arial Unicode MS"/>
      <family val="2"/>
      <charset val="134"/>
    </font>
    <font>
      <sz val="10"/>
      <color theme="1"/>
      <name val="宋体"/>
      <family val="2"/>
      <scheme val="minor"/>
    </font>
    <font>
      <b/>
      <u/>
      <sz val="10"/>
      <color indexed="12"/>
      <name val="Arial"/>
      <family val="2"/>
    </font>
    <font>
      <sz val="10"/>
      <name val="宋体"/>
      <family val="3"/>
      <charset val="134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8"/>
      <color theme="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  <font>
      <sz val="8"/>
      <color theme="1"/>
      <name val="楷体"/>
      <family val="3"/>
      <charset val="134"/>
    </font>
    <font>
      <sz val="10.5"/>
      <color theme="1"/>
      <name val="Calibri"/>
      <family val="2"/>
    </font>
    <font>
      <b/>
      <sz val="20"/>
      <color theme="1"/>
      <name val="宋体"/>
      <family val="3"/>
      <charset val="134"/>
      <scheme val="minor"/>
    </font>
    <font>
      <b/>
      <sz val="20"/>
      <color rgb="FFFF0000"/>
      <name val="宋体"/>
      <family val="3"/>
      <charset val="134"/>
      <scheme val="minor"/>
    </font>
    <font>
      <b/>
      <sz val="10"/>
      <name val="宋体"/>
      <family val="3"/>
      <charset val="134"/>
      <scheme val="minor"/>
    </font>
    <font>
      <b/>
      <sz val="14"/>
      <color rgb="FFFF0000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b/>
      <sz val="16"/>
      <color theme="1"/>
      <name val="宋体"/>
      <family val="3"/>
      <charset val="134"/>
      <scheme val="minor"/>
    </font>
    <font>
      <u/>
      <sz val="11"/>
      <color theme="10"/>
      <name val="宋体"/>
      <family val="2"/>
      <scheme val="minor"/>
    </font>
    <font>
      <sz val="11"/>
      <color rgb="FFFF0000"/>
      <name val="宋体"/>
      <family val="3"/>
      <charset val="134"/>
      <scheme val="minor"/>
    </font>
    <font>
      <b/>
      <sz val="11"/>
      <color rgb="FFC0000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theme="5" tint="-0.249977111117893"/>
      <name val="宋体"/>
      <family val="3"/>
      <charset val="134"/>
      <scheme val="minor"/>
    </font>
    <font>
      <sz val="11"/>
      <color theme="5" tint="-0.249977111117893"/>
      <name val="宋体"/>
      <family val="2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3"/>
      <charset val="134"/>
      <scheme val="minor"/>
    </font>
  </fonts>
  <fills count="4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5"/>
      </patternFill>
    </fill>
    <fill>
      <patternFill patternType="solid">
        <fgColor indexed="42"/>
        <bgColor indexed="64"/>
      </patternFill>
    </fill>
    <fill>
      <patternFill patternType="solid">
        <fgColor indexed="42"/>
      </patternFill>
    </fill>
    <fill>
      <patternFill patternType="solid">
        <fgColor indexed="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00000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454">
    <xf numFmtId="0" fontId="0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" fillId="0" borderId="0" applyNumberFormat="0" applyFill="0" applyBorder="0" applyAlignment="0" applyProtection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4" fillId="0" borderId="0"/>
    <xf numFmtId="0" fontId="6" fillId="0" borderId="0"/>
    <xf numFmtId="0" fontId="4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/>
    <xf numFmtId="176" fontId="13" fillId="0" borderId="0" applyFill="0" applyBorder="0" applyAlignment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1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6" fillId="0" borderId="0"/>
    <xf numFmtId="0" fontId="6" fillId="0" borderId="0"/>
    <xf numFmtId="0" fontId="16" fillId="0" borderId="0"/>
    <xf numFmtId="0" fontId="6" fillId="0" borderId="0"/>
    <xf numFmtId="42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17" fillId="0" borderId="0">
      <protection locked="0"/>
    </xf>
    <xf numFmtId="0" fontId="18" fillId="0" borderId="0">
      <protection locked="0"/>
    </xf>
    <xf numFmtId="0" fontId="18" fillId="0" borderId="0">
      <protection locked="0"/>
    </xf>
    <xf numFmtId="0" fontId="19" fillId="11" borderId="1"/>
    <xf numFmtId="0" fontId="17" fillId="0" borderId="0">
      <protection locked="0"/>
    </xf>
    <xf numFmtId="0" fontId="17" fillId="0" borderId="0">
      <protection locked="0"/>
    </xf>
    <xf numFmtId="0" fontId="17" fillId="0" borderId="0">
      <protection locked="0"/>
    </xf>
    <xf numFmtId="0" fontId="17" fillId="0" borderId="0">
      <protection locked="0"/>
    </xf>
    <xf numFmtId="0" fontId="17" fillId="0" borderId="0">
      <protection locked="0"/>
    </xf>
    <xf numFmtId="0" fontId="17" fillId="0" borderId="0">
      <protection locked="0"/>
    </xf>
    <xf numFmtId="0" fontId="17" fillId="0" borderId="0">
      <protection locked="0"/>
    </xf>
    <xf numFmtId="0" fontId="17" fillId="0" borderId="0">
      <protection locked="0"/>
    </xf>
    <xf numFmtId="0" fontId="17" fillId="0" borderId="0"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38" fontId="19" fillId="6" borderId="0" applyNumberFormat="0" applyBorder="0" applyAlignment="0" applyProtection="0"/>
    <xf numFmtId="0" fontId="21" fillId="0" borderId="0">
      <alignment horizontal="left"/>
    </xf>
    <xf numFmtId="0" fontId="22" fillId="0" borderId="2" applyNumberFormat="0" applyAlignment="0" applyProtection="0">
      <alignment horizontal="left" vertical="center"/>
    </xf>
    <xf numFmtId="0" fontId="22" fillId="0" borderId="3">
      <alignment horizontal="left" vertical="center"/>
    </xf>
    <xf numFmtId="0" fontId="23" fillId="0" borderId="0" applyNumberFormat="0" applyFill="0" applyBorder="0" applyAlignment="0" applyProtection="0">
      <alignment vertical="top"/>
      <protection locked="0"/>
    </xf>
    <xf numFmtId="10" fontId="19" fillId="4" borderId="1" applyNumberFormat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24" fillId="0" borderId="4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7" fillId="0" borderId="0">
      <protection locked="0"/>
    </xf>
    <xf numFmtId="37" fontId="25" fillId="0" borderId="0"/>
    <xf numFmtId="0" fontId="14" fillId="0" borderId="0"/>
    <xf numFmtId="0" fontId="4" fillId="0" borderId="0"/>
    <xf numFmtId="0" fontId="26" fillId="0" borderId="0"/>
    <xf numFmtId="10" fontId="3" fillId="0" borderId="0" applyFont="0" applyFill="0" applyBorder="0" applyAlignment="0" applyProtection="0"/>
    <xf numFmtId="0" fontId="17" fillId="0" borderId="0">
      <protection locked="0"/>
    </xf>
    <xf numFmtId="0" fontId="19" fillId="6" borderId="1"/>
    <xf numFmtId="38" fontId="27" fillId="0" borderId="0"/>
    <xf numFmtId="0" fontId="24" fillId="0" borderId="0"/>
    <xf numFmtId="0" fontId="17" fillId="0" borderId="5">
      <protection locked="0"/>
    </xf>
    <xf numFmtId="0" fontId="15" fillId="0" borderId="0"/>
    <xf numFmtId="0" fontId="28" fillId="0" borderId="6" applyNumberFormat="0" applyFill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30" fillId="0" borderId="8" applyNumberFormat="0" applyFill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7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>
      <alignment vertical="center"/>
    </xf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/>
    <xf numFmtId="0" fontId="32" fillId="0" borderId="0" applyNumberFormat="0" applyFill="0" applyBorder="0" applyAlignment="0" applyProtection="0">
      <alignment vertical="top"/>
      <protection locked="0"/>
    </xf>
    <xf numFmtId="0" fontId="33" fillId="14" borderId="0" applyNumberFormat="0" applyBorder="0" applyAlignment="0" applyProtection="0">
      <alignment vertical="center"/>
    </xf>
    <xf numFmtId="0" fontId="34" fillId="15" borderId="0" applyNumberFormat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9" applyNumberFormat="0" applyFill="0" applyAlignment="0" applyProtection="0">
      <alignment vertical="center"/>
    </xf>
    <xf numFmtId="44" fontId="7" fillId="0" borderId="0" applyFont="0" applyFill="0" applyBorder="0" applyAlignment="0" applyProtection="0">
      <alignment vertical="center"/>
    </xf>
    <xf numFmtId="44" fontId="7" fillId="0" borderId="0" applyFont="0" applyFill="0" applyBorder="0" applyAlignment="0" applyProtection="0"/>
    <xf numFmtId="0" fontId="37" fillId="2" borderId="10" applyNumberFormat="0" applyAlignment="0" applyProtection="0">
      <alignment vertical="center"/>
    </xf>
    <xf numFmtId="0" fontId="38" fillId="16" borderId="11" applyNumberFormat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1" fillId="0" borderId="12" applyNumberFormat="0" applyFill="0" applyAlignment="0" applyProtection="0">
      <alignment vertical="center"/>
    </xf>
    <xf numFmtId="0" fontId="13" fillId="0" borderId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42" fillId="8" borderId="0" applyNumberFormat="0" applyBorder="0" applyAlignment="0" applyProtection="0">
      <alignment vertical="center"/>
    </xf>
    <xf numFmtId="0" fontId="43" fillId="2" borderId="13" applyNumberFormat="0" applyAlignment="0" applyProtection="0">
      <alignment vertical="center"/>
    </xf>
    <xf numFmtId="0" fontId="44" fillId="3" borderId="10" applyNumberFormat="0" applyAlignment="0" applyProtection="0">
      <alignment vertical="center"/>
    </xf>
    <xf numFmtId="0" fontId="45" fillId="0" borderId="0" applyNumberFormat="0" applyFont="0" applyFill="0" applyBorder="0" applyAlignment="0" applyProtection="0">
      <alignment vertical="center"/>
    </xf>
    <xf numFmtId="0" fontId="4" fillId="0" borderId="0"/>
    <xf numFmtId="0" fontId="7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5" fillId="0" borderId="0" applyNumberFormat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5" fillId="0" borderId="0" applyNumberFormat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5" fillId="0" borderId="0" applyNumberFormat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5" fillId="0" borderId="0" applyNumberFormat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5" fillId="0" borderId="0" applyNumberFormat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45" fillId="0" borderId="0" applyNumberFormat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5" fillId="0" borderId="0" applyNumberFormat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4" borderId="14" applyNumberFormat="0" applyFont="0" applyAlignment="0" applyProtection="0">
      <alignment vertical="center"/>
    </xf>
    <xf numFmtId="0" fontId="1" fillId="0" borderId="0">
      <alignment vertical="center"/>
    </xf>
    <xf numFmtId="0" fontId="67" fillId="0" borderId="0" applyNumberFormat="0" applyFill="0" applyBorder="0" applyAlignment="0" applyProtection="0"/>
    <xf numFmtId="0" fontId="84" fillId="0" borderId="0" applyNumberFormat="0" applyFill="0" applyBorder="0" applyAlignment="0" applyProtection="0"/>
  </cellStyleXfs>
  <cellXfs count="262">
    <xf numFmtId="0" fontId="0" fillId="0" borderId="0" xfId="0"/>
    <xf numFmtId="0" fontId="0" fillId="0" borderId="20" xfId="0" applyBorder="1"/>
    <xf numFmtId="0" fontId="0" fillId="21" borderId="20" xfId="0" applyFill="1" applyBorder="1"/>
    <xf numFmtId="0" fontId="0" fillId="0" borderId="20" xfId="0" applyBorder="1" applyAlignment="1">
      <alignment horizontal="center"/>
    </xf>
    <xf numFmtId="0" fontId="0" fillId="0" borderId="0" xfId="0" applyBorder="1"/>
    <xf numFmtId="0" fontId="1" fillId="0" borderId="0" xfId="451" applyAlignment="1">
      <alignment wrapText="1"/>
    </xf>
    <xf numFmtId="0" fontId="1" fillId="0" borderId="0" xfId="451">
      <alignment vertical="center"/>
    </xf>
    <xf numFmtId="0" fontId="51" fillId="0" borderId="24" xfId="451" applyFont="1" applyBorder="1" applyAlignment="1">
      <alignment horizontal="left" vertical="center"/>
    </xf>
    <xf numFmtId="0" fontId="51" fillId="0" borderId="28" xfId="451" applyFont="1" applyBorder="1" applyAlignment="1">
      <alignment horizontal="left" vertical="center"/>
    </xf>
    <xf numFmtId="0" fontId="51" fillId="0" borderId="21" xfId="451" applyFont="1" applyBorder="1" applyAlignment="1">
      <alignment horizontal="center" vertical="center"/>
    </xf>
    <xf numFmtId="0" fontId="51" fillId="0" borderId="20" xfId="451" applyFont="1" applyBorder="1" applyAlignment="1">
      <alignment horizontal="center" vertical="center"/>
    </xf>
    <xf numFmtId="0" fontId="51" fillId="0" borderId="30" xfId="451" applyFont="1" applyBorder="1" applyAlignment="1">
      <alignment horizontal="left" vertical="center"/>
    </xf>
    <xf numFmtId="0" fontId="51" fillId="0" borderId="31" xfId="451" applyFont="1" applyBorder="1" applyAlignment="1">
      <alignment horizontal="center" vertical="center"/>
    </xf>
    <xf numFmtId="0" fontId="51" fillId="0" borderId="32" xfId="451" applyFont="1" applyBorder="1" applyAlignment="1">
      <alignment horizontal="center" vertical="center"/>
    </xf>
    <xf numFmtId="0" fontId="51" fillId="0" borderId="23" xfId="451" applyFont="1" applyBorder="1" applyAlignment="1">
      <alignment horizontal="center" vertical="center"/>
    </xf>
    <xf numFmtId="0" fontId="51" fillId="0" borderId="33" xfId="451" applyFont="1" applyBorder="1" applyAlignment="1">
      <alignment horizontal="center" vertical="center"/>
    </xf>
    <xf numFmtId="0" fontId="51" fillId="0" borderId="34" xfId="451" applyFont="1" applyBorder="1" applyAlignment="1">
      <alignment horizontal="center" vertical="center"/>
    </xf>
    <xf numFmtId="0" fontId="54" fillId="0" borderId="35" xfId="451" applyFont="1" applyFill="1" applyBorder="1" applyAlignment="1">
      <alignment horizontal="center" vertical="center"/>
    </xf>
    <xf numFmtId="0" fontId="54" fillId="24" borderId="36" xfId="451" applyFont="1" applyFill="1" applyBorder="1" applyAlignment="1">
      <alignment horizontal="center" vertical="center"/>
    </xf>
    <xf numFmtId="0" fontId="55" fillId="25" borderId="37" xfId="451" applyFont="1" applyFill="1" applyBorder="1" applyAlignment="1">
      <alignment horizontal="center" vertical="center"/>
    </xf>
    <xf numFmtId="0" fontId="55" fillId="25" borderId="26" xfId="451" applyFont="1" applyFill="1" applyBorder="1" applyAlignment="1">
      <alignment horizontal="center" vertical="center"/>
    </xf>
    <xf numFmtId="0" fontId="55" fillId="25" borderId="27" xfId="451" applyFont="1" applyFill="1" applyBorder="1" applyAlignment="1">
      <alignment horizontal="center" vertical="center"/>
    </xf>
    <xf numFmtId="0" fontId="54" fillId="0" borderId="24" xfId="451" applyFont="1" applyFill="1" applyBorder="1" applyAlignment="1">
      <alignment horizontal="center" vertical="center"/>
    </xf>
    <xf numFmtId="0" fontId="54" fillId="24" borderId="24" xfId="451" applyFont="1" applyFill="1" applyBorder="1" applyAlignment="1">
      <alignment horizontal="center" vertical="center"/>
    </xf>
    <xf numFmtId="0" fontId="55" fillId="25" borderId="25" xfId="451" applyFont="1" applyFill="1" applyBorder="1" applyAlignment="1">
      <alignment horizontal="center" vertical="center"/>
    </xf>
    <xf numFmtId="0" fontId="54" fillId="0" borderId="28" xfId="451" applyFont="1" applyFill="1" applyBorder="1" applyAlignment="1">
      <alignment horizontal="center" vertical="center"/>
    </xf>
    <xf numFmtId="0" fontId="56" fillId="24" borderId="39" xfId="451" applyFont="1" applyFill="1" applyBorder="1" applyAlignment="1">
      <alignment horizontal="center" vertical="center"/>
    </xf>
    <xf numFmtId="0" fontId="56" fillId="25" borderId="40" xfId="451" applyFont="1" applyFill="1" applyBorder="1" applyAlignment="1">
      <alignment horizontal="center" vertical="center"/>
    </xf>
    <xf numFmtId="0" fontId="56" fillId="25" borderId="20" xfId="451" applyFont="1" applyFill="1" applyBorder="1" applyAlignment="1">
      <alignment horizontal="center" vertical="center"/>
    </xf>
    <xf numFmtId="0" fontId="56" fillId="25" borderId="29" xfId="451" applyFont="1" applyFill="1" applyBorder="1" applyAlignment="1">
      <alignment horizontal="center" vertical="center"/>
    </xf>
    <xf numFmtId="0" fontId="54" fillId="24" borderId="28" xfId="451" applyFont="1" applyFill="1" applyBorder="1" applyAlignment="1">
      <alignment horizontal="center" vertical="center"/>
    </xf>
    <xf numFmtId="0" fontId="56" fillId="25" borderId="21" xfId="451" applyFont="1" applyFill="1" applyBorder="1" applyAlignment="1">
      <alignment horizontal="center" vertical="center"/>
    </xf>
    <xf numFmtId="0" fontId="54" fillId="24" borderId="39" xfId="451" applyFont="1" applyFill="1" applyBorder="1" applyAlignment="1">
      <alignment horizontal="center" vertical="center"/>
    </xf>
    <xf numFmtId="0" fontId="56" fillId="24" borderId="28" xfId="451" applyFont="1" applyFill="1" applyBorder="1" applyAlignment="1">
      <alignment horizontal="center" vertical="center"/>
    </xf>
    <xf numFmtId="0" fontId="54" fillId="0" borderId="42" xfId="451" applyFont="1" applyFill="1" applyBorder="1" applyAlignment="1">
      <alignment horizontal="center" vertical="center"/>
    </xf>
    <xf numFmtId="0" fontId="55" fillId="24" borderId="39" xfId="451" applyFont="1" applyFill="1" applyBorder="1" applyAlignment="1">
      <alignment horizontal="center" vertical="center"/>
    </xf>
    <xf numFmtId="0" fontId="55" fillId="25" borderId="21" xfId="451" applyFont="1" applyFill="1" applyBorder="1" applyAlignment="1">
      <alignment horizontal="center" vertical="center"/>
    </xf>
    <xf numFmtId="0" fontId="55" fillId="25" borderId="20" xfId="451" applyFont="1" applyFill="1" applyBorder="1" applyAlignment="1">
      <alignment horizontal="center" vertical="center"/>
    </xf>
    <xf numFmtId="0" fontId="55" fillId="25" borderId="29" xfId="451" applyFont="1" applyFill="1" applyBorder="1" applyAlignment="1">
      <alignment horizontal="center" vertical="center"/>
    </xf>
    <xf numFmtId="0" fontId="55" fillId="0" borderId="42" xfId="451" applyFont="1" applyFill="1" applyBorder="1" applyAlignment="1">
      <alignment horizontal="center" vertical="center"/>
    </xf>
    <xf numFmtId="0" fontId="51" fillId="0" borderId="30" xfId="451" applyFont="1" applyFill="1" applyBorder="1" applyAlignment="1">
      <alignment horizontal="center" vertical="center"/>
    </xf>
    <xf numFmtId="0" fontId="56" fillId="24" borderId="43" xfId="451" applyFont="1" applyFill="1" applyBorder="1" applyAlignment="1">
      <alignment horizontal="center" vertical="center"/>
    </xf>
    <xf numFmtId="0" fontId="56" fillId="25" borderId="44" xfId="451" applyFont="1" applyFill="1" applyBorder="1" applyAlignment="1">
      <alignment horizontal="center" vertical="center"/>
    </xf>
    <xf numFmtId="0" fontId="56" fillId="25" borderId="32" xfId="451" applyFont="1" applyFill="1" applyBorder="1" applyAlignment="1">
      <alignment horizontal="center" vertical="center"/>
    </xf>
    <xf numFmtId="0" fontId="56" fillId="25" borderId="34" xfId="451" applyFont="1" applyFill="1" applyBorder="1" applyAlignment="1">
      <alignment horizontal="center" vertical="center"/>
    </xf>
    <xf numFmtId="0" fontId="51" fillId="0" borderId="35" xfId="451" applyFont="1" applyFill="1" applyBorder="1" applyAlignment="1">
      <alignment horizontal="center" vertical="center"/>
    </xf>
    <xf numFmtId="0" fontId="51" fillId="24" borderId="39" xfId="451" applyFont="1" applyFill="1" applyBorder="1" applyAlignment="1">
      <alignment horizontal="center" vertical="center"/>
    </xf>
    <xf numFmtId="0" fontId="51" fillId="25" borderId="45" xfId="451" applyFont="1" applyFill="1" applyBorder="1" applyAlignment="1">
      <alignment horizontal="center" vertical="center"/>
    </xf>
    <xf numFmtId="0" fontId="51" fillId="25" borderId="18" xfId="451" applyFont="1" applyFill="1" applyBorder="1" applyAlignment="1">
      <alignment horizontal="center" vertical="center"/>
    </xf>
    <xf numFmtId="0" fontId="51" fillId="25" borderId="46" xfId="451" applyFont="1" applyFill="1" applyBorder="1" applyAlignment="1">
      <alignment horizontal="center" vertical="center"/>
    </xf>
    <xf numFmtId="0" fontId="55" fillId="24" borderId="28" xfId="451" applyFont="1" applyFill="1" applyBorder="1" applyAlignment="1">
      <alignment horizontal="center" vertical="center"/>
    </xf>
    <xf numFmtId="0" fontId="51" fillId="24" borderId="47" xfId="451" applyFont="1" applyFill="1" applyBorder="1" applyAlignment="1">
      <alignment horizontal="center" vertical="center"/>
    </xf>
    <xf numFmtId="0" fontId="51" fillId="25" borderId="44" xfId="451" applyFont="1" applyFill="1" applyBorder="1" applyAlignment="1">
      <alignment horizontal="center" vertical="center"/>
    </xf>
    <xf numFmtId="0" fontId="51" fillId="25" borderId="32" xfId="451" applyFont="1" applyFill="1" applyBorder="1" applyAlignment="1">
      <alignment horizontal="center" vertical="center"/>
    </xf>
    <xf numFmtId="0" fontId="51" fillId="25" borderId="34" xfId="451" applyFont="1" applyFill="1" applyBorder="1" applyAlignment="1">
      <alignment horizontal="center" vertical="center"/>
    </xf>
    <xf numFmtId="0" fontId="55" fillId="0" borderId="28" xfId="451" applyFont="1" applyFill="1" applyBorder="1" applyAlignment="1">
      <alignment horizontal="center" vertical="center"/>
    </xf>
    <xf numFmtId="0" fontId="56" fillId="0" borderId="42" xfId="451" applyFont="1" applyFill="1" applyBorder="1" applyAlignment="1">
      <alignment horizontal="center" vertical="center"/>
    </xf>
    <xf numFmtId="0" fontId="56" fillId="24" borderId="42" xfId="451" applyFont="1" applyFill="1" applyBorder="1" applyAlignment="1">
      <alignment horizontal="center" vertical="center"/>
    </xf>
    <xf numFmtId="0" fontId="56" fillId="25" borderId="49" xfId="451" applyFont="1" applyFill="1" applyBorder="1" applyAlignment="1">
      <alignment horizontal="center" vertical="center"/>
    </xf>
    <xf numFmtId="0" fontId="56" fillId="25" borderId="23" xfId="451" applyFont="1" applyFill="1" applyBorder="1" applyAlignment="1">
      <alignment horizontal="center" vertical="center"/>
    </xf>
    <xf numFmtId="0" fontId="56" fillId="25" borderId="33" xfId="451" applyFont="1" applyFill="1" applyBorder="1" applyAlignment="1">
      <alignment horizontal="center" vertical="center"/>
    </xf>
    <xf numFmtId="0" fontId="51" fillId="0" borderId="24" xfId="451" applyFont="1" applyFill="1" applyBorder="1" applyAlignment="1">
      <alignment horizontal="center" vertical="center"/>
    </xf>
    <xf numFmtId="0" fontId="51" fillId="24" borderId="24" xfId="451" applyFont="1" applyFill="1" applyBorder="1" applyAlignment="1">
      <alignment horizontal="center" vertical="center"/>
    </xf>
    <xf numFmtId="0" fontId="51" fillId="25" borderId="37" xfId="451" applyFont="1" applyFill="1" applyBorder="1" applyAlignment="1">
      <alignment horizontal="center" vertical="center"/>
    </xf>
    <xf numFmtId="0" fontId="51" fillId="25" borderId="26" xfId="451" applyFont="1" applyFill="1" applyBorder="1" applyAlignment="1">
      <alignment horizontal="center" vertical="center"/>
    </xf>
    <xf numFmtId="0" fontId="51" fillId="25" borderId="27" xfId="451" applyFont="1" applyFill="1" applyBorder="1" applyAlignment="1">
      <alignment horizontal="center" vertical="center"/>
    </xf>
    <xf numFmtId="0" fontId="51" fillId="0" borderId="28" xfId="451" applyFont="1" applyFill="1" applyBorder="1" applyAlignment="1">
      <alignment horizontal="center" vertical="center"/>
    </xf>
    <xf numFmtId="0" fontId="51" fillId="24" borderId="28" xfId="451" applyFont="1" applyFill="1" applyBorder="1" applyAlignment="1">
      <alignment horizontal="center" vertical="center"/>
    </xf>
    <xf numFmtId="0" fontId="51" fillId="25" borderId="40" xfId="451" applyFont="1" applyFill="1" applyBorder="1" applyAlignment="1">
      <alignment horizontal="center" vertical="center"/>
    </xf>
    <xf numFmtId="0" fontId="51" fillId="25" borderId="20" xfId="451" applyFont="1" applyFill="1" applyBorder="1" applyAlignment="1">
      <alignment horizontal="center" vertical="center"/>
    </xf>
    <xf numFmtId="0" fontId="51" fillId="25" borderId="29" xfId="451" applyFont="1" applyFill="1" applyBorder="1" applyAlignment="1">
      <alignment horizontal="center" vertical="center"/>
    </xf>
    <xf numFmtId="0" fontId="51" fillId="24" borderId="30" xfId="451" applyFont="1" applyFill="1" applyBorder="1" applyAlignment="1">
      <alignment horizontal="center" vertical="center"/>
    </xf>
    <xf numFmtId="0" fontId="58" fillId="0" borderId="56" xfId="0" applyFont="1" applyBorder="1" applyAlignment="1">
      <alignment vertical="top" wrapText="1"/>
    </xf>
    <xf numFmtId="0" fontId="58" fillId="26" borderId="56" xfId="0" applyFont="1" applyFill="1" applyBorder="1" applyAlignment="1">
      <alignment vertical="top" wrapText="1"/>
    </xf>
    <xf numFmtId="0" fontId="59" fillId="0" borderId="48" xfId="0" applyFont="1" applyBorder="1" applyAlignment="1">
      <alignment horizontal="center" vertical="center" wrapText="1"/>
    </xf>
    <xf numFmtId="0" fontId="59" fillId="0" borderId="56" xfId="0" applyFont="1" applyBorder="1" applyAlignment="1">
      <alignment horizontal="center" vertical="center" wrapText="1"/>
    </xf>
    <xf numFmtId="0" fontId="59" fillId="26" borderId="56" xfId="0" applyFont="1" applyFill="1" applyBorder="1" applyAlignment="1">
      <alignment horizontal="center" vertical="center" wrapText="1"/>
    </xf>
    <xf numFmtId="0" fontId="59" fillId="27" borderId="48" xfId="0" applyFont="1" applyFill="1" applyBorder="1" applyAlignment="1">
      <alignment horizontal="center" vertical="center" wrapText="1"/>
    </xf>
    <xf numFmtId="0" fontId="59" fillId="27" borderId="56" xfId="0" applyFont="1" applyFill="1" applyBorder="1" applyAlignment="1">
      <alignment horizontal="center" vertical="center" wrapText="1"/>
    </xf>
    <xf numFmtId="0" fontId="60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20" xfId="0" applyBorder="1" applyAlignment="1"/>
    <xf numFmtId="0" fontId="0" fillId="28" borderId="20" xfId="0" applyFill="1" applyBorder="1" applyAlignment="1"/>
    <xf numFmtId="0" fontId="0" fillId="28" borderId="20" xfId="0" applyFill="1" applyBorder="1"/>
    <xf numFmtId="0" fontId="0" fillId="27" borderId="20" xfId="0" applyFill="1" applyBorder="1"/>
    <xf numFmtId="0" fontId="0" fillId="29" borderId="0" xfId="0" applyFill="1"/>
    <xf numFmtId="0" fontId="0" fillId="27" borderId="20" xfId="0" applyFill="1" applyBorder="1" applyAlignment="1"/>
    <xf numFmtId="0" fontId="0" fillId="28" borderId="20" xfId="0" applyFill="1" applyBorder="1" applyAlignment="1">
      <alignment wrapText="1"/>
    </xf>
    <xf numFmtId="0" fontId="0" fillId="28" borderId="22" xfId="0" applyFill="1" applyBorder="1"/>
    <xf numFmtId="0" fontId="0" fillId="0" borderId="22" xfId="0" applyBorder="1"/>
    <xf numFmtId="0" fontId="62" fillId="27" borderId="20" xfId="0" applyFont="1" applyFill="1" applyBorder="1" applyAlignment="1">
      <alignment horizontal="center" vertical="center" wrapText="1"/>
    </xf>
    <xf numFmtId="0" fontId="62" fillId="28" borderId="20" xfId="0" applyFont="1" applyFill="1" applyBorder="1" applyAlignment="1">
      <alignment horizontal="center" vertical="center" wrapText="1"/>
    </xf>
    <xf numFmtId="0" fontId="63" fillId="28" borderId="20" xfId="0" applyFont="1" applyFill="1" applyBorder="1" applyAlignment="1">
      <alignment vertical="center" wrapText="1"/>
    </xf>
    <xf numFmtId="0" fontId="63" fillId="27" borderId="20" xfId="0" applyFont="1" applyFill="1" applyBorder="1" applyAlignment="1">
      <alignment vertical="center" wrapText="1"/>
    </xf>
    <xf numFmtId="0" fontId="64" fillId="0" borderId="20" xfId="0" applyFont="1" applyBorder="1" applyAlignment="1">
      <alignment horizontal="center" vertical="center"/>
    </xf>
    <xf numFmtId="0" fontId="64" fillId="0" borderId="20" xfId="0" applyFont="1" applyBorder="1" applyAlignment="1">
      <alignment horizontal="center"/>
    </xf>
    <xf numFmtId="0" fontId="65" fillId="0" borderId="20" xfId="0" applyFont="1" applyBorder="1" applyAlignment="1">
      <alignment horizontal="center" vertical="center"/>
    </xf>
    <xf numFmtId="0" fontId="65" fillId="0" borderId="20" xfId="0" applyFont="1" applyFill="1" applyBorder="1" applyAlignment="1">
      <alignment horizontal="center" vertical="center"/>
    </xf>
    <xf numFmtId="0" fontId="65" fillId="27" borderId="20" xfId="0" applyFont="1" applyFill="1" applyBorder="1" applyAlignment="1">
      <alignment horizontal="center" vertical="center"/>
    </xf>
    <xf numFmtId="0" fontId="0" fillId="0" borderId="0" xfId="0" applyAlignment="1"/>
    <xf numFmtId="0" fontId="66" fillId="28" borderId="20" xfId="0" applyFont="1" applyFill="1" applyBorder="1" applyAlignment="1">
      <alignment horizontal="center"/>
    </xf>
    <xf numFmtId="0" fontId="3" fillId="27" borderId="23" xfId="452" applyFont="1" applyFill="1" applyBorder="1" applyAlignment="1">
      <alignment horizontal="center" vertical="top" wrapText="1"/>
    </xf>
    <xf numFmtId="0" fontId="0" fillId="28" borderId="20" xfId="0" applyFill="1" applyBorder="1" applyAlignment="1">
      <alignment horizontal="right"/>
    </xf>
    <xf numFmtId="0" fontId="66" fillId="0" borderId="20" xfId="0" applyFont="1" applyBorder="1" applyAlignment="1">
      <alignment horizontal="center"/>
    </xf>
    <xf numFmtId="0" fontId="3" fillId="29" borderId="20" xfId="452" applyFont="1" applyFill="1" applyBorder="1" applyAlignment="1">
      <alignment horizontal="center" vertical="top"/>
    </xf>
    <xf numFmtId="0" fontId="49" fillId="0" borderId="20" xfId="0" applyFont="1" applyBorder="1" applyAlignment="1">
      <alignment horizontal="center"/>
    </xf>
    <xf numFmtId="0" fontId="3" fillId="29" borderId="20" xfId="452" applyFont="1" applyFill="1" applyBorder="1" applyAlignment="1">
      <alignment horizontal="center" vertical="top" wrapText="1"/>
    </xf>
    <xf numFmtId="0" fontId="3" fillId="0" borderId="20" xfId="452" applyFont="1" applyBorder="1" applyAlignment="1">
      <alignment horizontal="center" vertical="top"/>
    </xf>
    <xf numFmtId="0" fontId="69" fillId="28" borderId="20" xfId="0" applyFont="1" applyFill="1" applyBorder="1" applyAlignment="1">
      <alignment wrapText="1"/>
    </xf>
    <xf numFmtId="0" fontId="69" fillId="27" borderId="20" xfId="0" applyFont="1" applyFill="1" applyBorder="1" applyAlignment="1">
      <alignment wrapText="1"/>
    </xf>
    <xf numFmtId="0" fontId="69" fillId="27" borderId="23" xfId="0" applyFont="1" applyFill="1" applyBorder="1" applyAlignment="1">
      <alignment wrapText="1"/>
    </xf>
    <xf numFmtId="0" fontId="48" fillId="28" borderId="20" xfId="0" applyFont="1" applyFill="1" applyBorder="1" applyAlignment="1">
      <alignment wrapText="1"/>
    </xf>
    <xf numFmtId="0" fontId="0" fillId="0" borderId="0" xfId="0" applyAlignment="1">
      <alignment wrapText="1"/>
    </xf>
    <xf numFmtId="0" fontId="70" fillId="0" borderId="20" xfId="0" applyFont="1" applyBorder="1"/>
    <xf numFmtId="0" fontId="70" fillId="0" borderId="20" xfId="0" applyFont="1" applyBorder="1" applyAlignment="1">
      <alignment horizontal="center"/>
    </xf>
    <xf numFmtId="0" fontId="70" fillId="0" borderId="20" xfId="0" applyFont="1" applyBorder="1" applyAlignment="1"/>
    <xf numFmtId="0" fontId="0" fillId="0" borderId="0" xfId="0" applyBorder="1" applyAlignment="1">
      <alignment wrapText="1"/>
    </xf>
    <xf numFmtId="0" fontId="71" fillId="28" borderId="20" xfId="0" applyFont="1" applyFill="1" applyBorder="1"/>
    <xf numFmtId="0" fontId="72" fillId="28" borderId="20" xfId="0" applyFont="1" applyFill="1" applyBorder="1"/>
    <xf numFmtId="0" fontId="72" fillId="28" borderId="20" xfId="0" applyFont="1" applyFill="1" applyBorder="1" applyAlignment="1">
      <alignment wrapText="1"/>
    </xf>
    <xf numFmtId="0" fontId="0" fillId="0" borderId="0" xfId="0" applyFill="1" applyBorder="1"/>
    <xf numFmtId="0" fontId="49" fillId="28" borderId="20" xfId="0" applyFont="1" applyFill="1" applyBorder="1" applyAlignment="1">
      <alignment wrapText="1"/>
    </xf>
    <xf numFmtId="0" fontId="49" fillId="28" borderId="20" xfId="0" applyFont="1" applyFill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73" fillId="34" borderId="20" xfId="0" applyFont="1" applyFill="1" applyBorder="1" applyAlignment="1">
      <alignment horizontal="center"/>
    </xf>
    <xf numFmtId="0" fontId="49" fillId="0" borderId="20" xfId="0" applyFont="1" applyBorder="1" applyAlignment="1">
      <alignment wrapText="1"/>
    </xf>
    <xf numFmtId="0" fontId="49" fillId="34" borderId="20" xfId="0" applyFont="1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60" fillId="0" borderId="56" xfId="0" applyFont="1" applyBorder="1" applyAlignment="1">
      <alignment horizontal="justify" vertical="center" wrapText="1"/>
    </xf>
    <xf numFmtId="0" fontId="77" fillId="0" borderId="48" xfId="0" applyFont="1" applyBorder="1" applyAlignment="1">
      <alignment horizontal="justify" vertical="center" wrapText="1"/>
    </xf>
    <xf numFmtId="0" fontId="77" fillId="0" borderId="56" xfId="0" applyFont="1" applyBorder="1" applyAlignment="1">
      <alignment horizontal="justify" vertical="center" wrapText="1"/>
    </xf>
    <xf numFmtId="0" fontId="71" fillId="27" borderId="20" xfId="0" applyFont="1" applyFill="1" applyBorder="1" applyAlignment="1">
      <alignment horizontal="center"/>
    </xf>
    <xf numFmtId="0" fontId="72" fillId="27" borderId="20" xfId="0" applyFont="1" applyFill="1" applyBorder="1" applyAlignment="1">
      <alignment horizontal="center"/>
    </xf>
    <xf numFmtId="0" fontId="74" fillId="28" borderId="20" xfId="0" applyFont="1" applyFill="1" applyBorder="1" applyAlignment="1">
      <alignment wrapText="1"/>
    </xf>
    <xf numFmtId="0" fontId="47" fillId="27" borderId="20" xfId="0" applyFont="1" applyFill="1" applyBorder="1" applyAlignment="1">
      <alignment horizontal="center" wrapText="1"/>
    </xf>
    <xf numFmtId="0" fontId="49" fillId="0" borderId="21" xfId="0" applyFont="1" applyBorder="1" applyAlignment="1">
      <alignment wrapText="1"/>
    </xf>
    <xf numFmtId="0" fontId="66" fillId="29" borderId="20" xfId="0" applyFont="1" applyFill="1" applyBorder="1"/>
    <xf numFmtId="0" fontId="49" fillId="29" borderId="20" xfId="0" applyFont="1" applyFill="1" applyBorder="1"/>
    <xf numFmtId="0" fontId="49" fillId="29" borderId="20" xfId="0" applyFont="1" applyFill="1" applyBorder="1" applyAlignment="1">
      <alignment wrapText="1"/>
    </xf>
    <xf numFmtId="0" fontId="49" fillId="23" borderId="20" xfId="0" applyFont="1" applyFill="1" applyBorder="1" applyAlignment="1">
      <alignment wrapText="1"/>
    </xf>
    <xf numFmtId="0" fontId="49" fillId="23" borderId="20" xfId="0" applyFont="1" applyFill="1" applyBorder="1"/>
    <xf numFmtId="0" fontId="49" fillId="0" borderId="20" xfId="0" applyFont="1" applyFill="1" applyBorder="1" applyAlignment="1">
      <alignment wrapText="1"/>
    </xf>
    <xf numFmtId="0" fontId="49" fillId="0" borderId="20" xfId="0" applyFont="1" applyFill="1" applyBorder="1"/>
    <xf numFmtId="0" fontId="77" fillId="0" borderId="38" xfId="0" applyFont="1" applyBorder="1" applyAlignment="1">
      <alignment horizontal="justify" vertical="center" wrapText="1"/>
    </xf>
    <xf numFmtId="0" fontId="77" fillId="0" borderId="58" xfId="0" applyFont="1" applyBorder="1" applyAlignment="1">
      <alignment horizontal="justify" vertical="center" wrapText="1"/>
    </xf>
    <xf numFmtId="0" fontId="77" fillId="0" borderId="59" xfId="0" applyFont="1" applyBorder="1" applyAlignment="1">
      <alignment horizontal="justify" vertical="center" wrapText="1"/>
    </xf>
    <xf numFmtId="0" fontId="48" fillId="28" borderId="20" xfId="0" applyFont="1" applyFill="1" applyBorder="1" applyAlignment="1">
      <alignment horizontal="center"/>
    </xf>
    <xf numFmtId="0" fontId="48" fillId="28" borderId="20" xfId="0" applyFont="1" applyFill="1" applyBorder="1"/>
    <xf numFmtId="0" fontId="0" fillId="36" borderId="0" xfId="0" applyFill="1" applyBorder="1"/>
    <xf numFmtId="0" fontId="0" fillId="36" borderId="16" xfId="0" applyFill="1" applyBorder="1"/>
    <xf numFmtId="0" fontId="83" fillId="37" borderId="0" xfId="0" applyFont="1" applyFill="1" applyAlignment="1">
      <alignment horizontal="center"/>
    </xf>
    <xf numFmtId="0" fontId="84" fillId="0" borderId="20" xfId="453" applyFill="1" applyBorder="1"/>
    <xf numFmtId="0" fontId="84" fillId="0" borderId="20" xfId="453" applyBorder="1" applyAlignment="1"/>
    <xf numFmtId="0" fontId="0" fillId="0" borderId="22" xfId="0" applyFill="1" applyBorder="1" applyAlignment="1">
      <alignment horizontal="center"/>
    </xf>
    <xf numFmtId="0" fontId="0" fillId="28" borderId="15" xfId="0" applyFill="1" applyBorder="1"/>
    <xf numFmtId="0" fontId="0" fillId="38" borderId="20" xfId="0" applyFill="1" applyBorder="1"/>
    <xf numFmtId="0" fontId="0" fillId="38" borderId="15" xfId="0" applyFill="1" applyBorder="1"/>
    <xf numFmtId="0" fontId="0" fillId="40" borderId="20" xfId="0" applyFill="1" applyBorder="1"/>
    <xf numFmtId="0" fontId="0" fillId="40" borderId="3" xfId="0" applyFill="1" applyBorder="1"/>
    <xf numFmtId="0" fontId="0" fillId="38" borderId="20" xfId="0" applyFill="1" applyBorder="1" applyAlignment="1">
      <alignment horizontal="center"/>
    </xf>
    <xf numFmtId="0" fontId="87" fillId="38" borderId="20" xfId="0" applyFont="1" applyFill="1" applyBorder="1" applyAlignment="1">
      <alignment horizontal="center"/>
    </xf>
    <xf numFmtId="0" fontId="0" fillId="0" borderId="60" xfId="0" applyBorder="1"/>
    <xf numFmtId="0" fontId="87" fillId="27" borderId="60" xfId="0" applyFont="1" applyFill="1" applyBorder="1" applyAlignment="1">
      <alignment horizontal="center"/>
    </xf>
    <xf numFmtId="0" fontId="0" fillId="28" borderId="60" xfId="0" applyFill="1" applyBorder="1"/>
    <xf numFmtId="0" fontId="0" fillId="28" borderId="60" xfId="0" applyFill="1" applyBorder="1" applyAlignment="1">
      <alignment wrapText="1"/>
    </xf>
    <xf numFmtId="0" fontId="0" fillId="41" borderId="60" xfId="0" applyFill="1" applyBorder="1"/>
    <xf numFmtId="0" fontId="0" fillId="39" borderId="60" xfId="0" applyFill="1" applyBorder="1"/>
    <xf numFmtId="0" fontId="0" fillId="37" borderId="60" xfId="0" applyFill="1" applyBorder="1"/>
    <xf numFmtId="0" fontId="0" fillId="32" borderId="60" xfId="0" applyFill="1" applyBorder="1"/>
    <xf numFmtId="0" fontId="69" fillId="41" borderId="20" xfId="0" applyFont="1" applyFill="1" applyBorder="1"/>
    <xf numFmtId="0" fontId="48" fillId="39" borderId="20" xfId="0" applyFont="1" applyFill="1" applyBorder="1"/>
    <xf numFmtId="0" fontId="0" fillId="30" borderId="60" xfId="0" applyFill="1" applyBorder="1"/>
    <xf numFmtId="0" fontId="48" fillId="36" borderId="60" xfId="0" applyFont="1" applyFill="1" applyBorder="1" applyAlignment="1">
      <alignment horizontal="center"/>
    </xf>
    <xf numFmtId="0" fontId="88" fillId="36" borderId="60" xfId="0" applyFont="1" applyFill="1" applyBorder="1"/>
    <xf numFmtId="0" fontId="84" fillId="37" borderId="22" xfId="453" applyFill="1" applyBorder="1" applyAlignment="1">
      <alignment horizontal="center"/>
    </xf>
    <xf numFmtId="0" fontId="89" fillId="28" borderId="60" xfId="0" applyFont="1" applyFill="1" applyBorder="1"/>
    <xf numFmtId="0" fontId="0" fillId="0" borderId="60" xfId="0" applyBorder="1" applyAlignment="1">
      <alignment horizontal="center"/>
    </xf>
    <xf numFmtId="0" fontId="0" fillId="28" borderId="23" xfId="0" applyFill="1" applyBorder="1" applyAlignment="1">
      <alignment horizontal="center"/>
    </xf>
    <xf numFmtId="0" fontId="50" fillId="28" borderId="23" xfId="0" applyFont="1" applyFill="1" applyBorder="1" applyAlignment="1">
      <alignment horizontal="center"/>
    </xf>
    <xf numFmtId="0" fontId="0" fillId="28" borderId="15" xfId="0" applyFill="1" applyBorder="1" applyAlignment="1">
      <alignment horizontal="center"/>
    </xf>
    <xf numFmtId="0" fontId="0" fillId="28" borderId="20" xfId="0" applyFill="1" applyBorder="1" applyAlignment="1">
      <alignment horizontal="center" wrapText="1"/>
    </xf>
    <xf numFmtId="0" fontId="0" fillId="28" borderId="60" xfId="0" applyFill="1" applyBorder="1" applyAlignment="1">
      <alignment horizontal="center" wrapText="1"/>
    </xf>
    <xf numFmtId="0" fontId="0" fillId="0" borderId="0" xfId="0" applyFill="1" applyAlignment="1">
      <alignment horizontal="center"/>
    </xf>
    <xf numFmtId="0" fontId="0" fillId="0" borderId="60" xfId="0" applyBorder="1" applyAlignment="1">
      <alignment horizontal="center" wrapText="1"/>
    </xf>
    <xf numFmtId="0" fontId="0" fillId="0" borderId="0" xfId="0" applyAlignment="1">
      <alignment horizontal="center"/>
    </xf>
    <xf numFmtId="0" fontId="47" fillId="27" borderId="60" xfId="0" applyFont="1" applyFill="1" applyBorder="1" applyAlignment="1">
      <alignment wrapText="1"/>
    </xf>
    <xf numFmtId="0" fontId="48" fillId="0" borderId="60" xfId="0" applyFont="1" applyBorder="1" applyAlignment="1">
      <alignment horizontal="center" wrapText="1"/>
    </xf>
    <xf numFmtId="0" fontId="48" fillId="29" borderId="60" xfId="0" applyFont="1" applyFill="1" applyBorder="1" applyAlignment="1">
      <alignment horizontal="center"/>
    </xf>
    <xf numFmtId="0" fontId="0" fillId="29" borderId="60" xfId="0" applyFill="1" applyBorder="1" applyAlignment="1">
      <alignment horizontal="center"/>
    </xf>
    <xf numFmtId="0" fontId="0" fillId="0" borderId="60" xfId="0" applyFill="1" applyBorder="1"/>
    <xf numFmtId="0" fontId="76" fillId="0" borderId="60" xfId="0" applyFont="1" applyBorder="1" applyAlignment="1">
      <alignment horizontal="center"/>
    </xf>
    <xf numFmtId="0" fontId="0" fillId="27" borderId="60" xfId="0" applyFill="1" applyBorder="1" applyAlignment="1">
      <alignment horizontal="center" wrapText="1"/>
    </xf>
    <xf numFmtId="0" fontId="48" fillId="35" borderId="60" xfId="0" applyFont="1" applyFill="1" applyBorder="1" applyAlignment="1">
      <alignment horizontal="center"/>
    </xf>
    <xf numFmtId="0" fontId="0" fillId="35" borderId="60" xfId="0" applyFill="1" applyBorder="1" applyAlignment="1">
      <alignment horizontal="center"/>
    </xf>
    <xf numFmtId="0" fontId="0" fillId="29" borderId="60" xfId="0" applyFill="1" applyBorder="1" applyAlignment="1">
      <alignment horizontal="center" wrapText="1"/>
    </xf>
    <xf numFmtId="0" fontId="0" fillId="0" borderId="60" xfId="0" applyFill="1" applyBorder="1" applyAlignment="1">
      <alignment horizontal="center"/>
    </xf>
    <xf numFmtId="0" fontId="48" fillId="0" borderId="60" xfId="0" applyFont="1" applyBorder="1" applyAlignment="1">
      <alignment horizontal="center"/>
    </xf>
    <xf numFmtId="0" fontId="48" fillId="28" borderId="57" xfId="0" applyFont="1" applyFill="1" applyBorder="1" applyAlignment="1">
      <alignment horizontal="center"/>
    </xf>
    <xf numFmtId="0" fontId="0" fillId="28" borderId="20" xfId="0" applyFill="1" applyBorder="1" applyAlignment="1">
      <alignment horizontal="center"/>
    </xf>
    <xf numFmtId="0" fontId="48" fillId="27" borderId="57" xfId="0" applyFont="1" applyFill="1" applyBorder="1" applyAlignment="1">
      <alignment horizontal="center"/>
    </xf>
    <xf numFmtId="0" fontId="86" fillId="38" borderId="22" xfId="0" applyFont="1" applyFill="1" applyBorder="1" applyAlignment="1">
      <alignment horizontal="center"/>
    </xf>
    <xf numFmtId="0" fontId="86" fillId="38" borderId="21" xfId="0" applyFont="1" applyFill="1" applyBorder="1" applyAlignment="1">
      <alignment horizontal="center"/>
    </xf>
    <xf numFmtId="0" fontId="86" fillId="38" borderId="3" xfId="0" applyFont="1" applyFill="1" applyBorder="1" applyAlignment="1">
      <alignment horizontal="center"/>
    </xf>
    <xf numFmtId="0" fontId="48" fillId="27" borderId="17" xfId="0" applyFont="1" applyFill="1" applyBorder="1" applyAlignment="1">
      <alignment horizontal="center"/>
    </xf>
    <xf numFmtId="0" fontId="48" fillId="27" borderId="60" xfId="0" applyFont="1" applyFill="1" applyBorder="1" applyAlignment="1">
      <alignment horizontal="center"/>
    </xf>
    <xf numFmtId="0" fontId="86" fillId="38" borderId="20" xfId="0" applyFont="1" applyFill="1" applyBorder="1" applyAlignment="1">
      <alignment horizontal="center"/>
    </xf>
    <xf numFmtId="0" fontId="48" fillId="27" borderId="19" xfId="0" applyFont="1" applyFill="1" applyBorder="1" applyAlignment="1">
      <alignment horizontal="center"/>
    </xf>
    <xf numFmtId="0" fontId="75" fillId="28" borderId="60" xfId="0" applyFont="1" applyFill="1" applyBorder="1" applyAlignment="1">
      <alignment horizontal="center" wrapText="1"/>
    </xf>
    <xf numFmtId="0" fontId="0" fillId="27" borderId="22" xfId="0" applyFill="1" applyBorder="1" applyAlignment="1">
      <alignment horizontal="left" wrapText="1"/>
    </xf>
    <xf numFmtId="0" fontId="0" fillId="27" borderId="61" xfId="0" applyFill="1" applyBorder="1" applyAlignment="1">
      <alignment horizontal="left" wrapText="1"/>
    </xf>
    <xf numFmtId="0" fontId="0" fillId="27" borderId="21" xfId="0" applyFill="1" applyBorder="1" applyAlignment="1">
      <alignment horizontal="left" wrapText="1"/>
    </xf>
    <xf numFmtId="0" fontId="48" fillId="22" borderId="60" xfId="0" applyFont="1" applyFill="1" applyBorder="1" applyAlignment="1">
      <alignment horizontal="center"/>
    </xf>
    <xf numFmtId="0" fontId="48" fillId="28" borderId="60" xfId="0" applyFont="1" applyFill="1" applyBorder="1" applyAlignment="1">
      <alignment horizontal="center" wrapText="1"/>
    </xf>
    <xf numFmtId="0" fontId="61" fillId="30" borderId="0" xfId="0" applyFont="1" applyFill="1" applyAlignment="1">
      <alignment horizontal="left"/>
    </xf>
    <xf numFmtId="0" fontId="61" fillId="31" borderId="57" xfId="0" applyFont="1" applyFill="1" applyBorder="1" applyAlignment="1">
      <alignment horizontal="left"/>
    </xf>
    <xf numFmtId="0" fontId="61" fillId="30" borderId="57" xfId="0" applyFont="1" applyFill="1" applyBorder="1" applyAlignment="1">
      <alignment horizontal="left"/>
    </xf>
    <xf numFmtId="0" fontId="61" fillId="32" borderId="22" xfId="0" applyFont="1" applyFill="1" applyBorder="1" applyAlignment="1">
      <alignment horizontal="center"/>
    </xf>
    <xf numFmtId="0" fontId="61" fillId="32" borderId="21" xfId="0" applyFont="1" applyFill="1" applyBorder="1" applyAlignment="1">
      <alignment horizontal="center"/>
    </xf>
    <xf numFmtId="0" fontId="61" fillId="32" borderId="3" xfId="0" applyFont="1" applyFill="1" applyBorder="1" applyAlignment="1">
      <alignment horizontal="center"/>
    </xf>
    <xf numFmtId="0" fontId="61" fillId="33" borderId="22" xfId="0" applyFont="1" applyFill="1" applyBorder="1" applyAlignment="1">
      <alignment horizontal="center"/>
    </xf>
    <xf numFmtId="0" fontId="61" fillId="33" borderId="3" xfId="0" applyFont="1" applyFill="1" applyBorder="1" applyAlignment="1">
      <alignment horizontal="center"/>
    </xf>
    <xf numFmtId="0" fontId="61" fillId="33" borderId="21" xfId="0" applyFont="1" applyFill="1" applyBorder="1" applyAlignment="1">
      <alignment horizontal="center"/>
    </xf>
    <xf numFmtId="0" fontId="81" fillId="27" borderId="22" xfId="0" applyFont="1" applyFill="1" applyBorder="1" applyAlignment="1">
      <alignment horizontal="center"/>
    </xf>
    <xf numFmtId="0" fontId="81" fillId="27" borderId="3" xfId="0" applyFont="1" applyFill="1" applyBorder="1" applyAlignment="1">
      <alignment horizontal="center"/>
    </xf>
    <xf numFmtId="0" fontId="81" fillId="27" borderId="21" xfId="0" applyFont="1" applyFill="1" applyBorder="1" applyAlignment="1">
      <alignment horizontal="center"/>
    </xf>
    <xf numFmtId="0" fontId="78" fillId="28" borderId="17" xfId="0" applyFont="1" applyFill="1" applyBorder="1" applyAlignment="1">
      <alignment horizontal="center"/>
    </xf>
    <xf numFmtId="0" fontId="78" fillId="28" borderId="57" xfId="0" applyFont="1" applyFill="1" applyBorder="1" applyAlignment="1">
      <alignment horizontal="center"/>
    </xf>
    <xf numFmtId="0" fontId="79" fillId="27" borderId="20" xfId="0" applyFont="1" applyFill="1" applyBorder="1" applyAlignment="1">
      <alignment horizontal="center"/>
    </xf>
    <xf numFmtId="0" fontId="78" fillId="28" borderId="22" xfId="0" applyFont="1" applyFill="1" applyBorder="1" applyAlignment="1">
      <alignment horizontal="left"/>
    </xf>
    <xf numFmtId="0" fontId="78" fillId="28" borderId="3" xfId="0" applyFont="1" applyFill="1" applyBorder="1" applyAlignment="1">
      <alignment horizontal="left"/>
    </xf>
    <xf numFmtId="0" fontId="47" fillId="22" borderId="60" xfId="0" applyFont="1" applyFill="1" applyBorder="1" applyAlignment="1">
      <alignment horizontal="center"/>
    </xf>
    <xf numFmtId="0" fontId="48" fillId="28" borderId="17" xfId="0" applyFont="1" applyFill="1" applyBorder="1" applyAlignment="1">
      <alignment horizontal="center"/>
    </xf>
    <xf numFmtId="0" fontId="53" fillId="0" borderId="35" xfId="451" applyFont="1" applyBorder="1" applyAlignment="1">
      <alignment horizontal="left" vertical="center" wrapText="1"/>
    </xf>
    <xf numFmtId="0" fontId="53" fillId="0" borderId="28" xfId="451" applyFont="1" applyBorder="1" applyAlignment="1">
      <alignment horizontal="left" vertical="center" wrapText="1"/>
    </xf>
    <xf numFmtId="0" fontId="53" fillId="0" borderId="30" xfId="451" applyFont="1" applyBorder="1" applyAlignment="1">
      <alignment horizontal="left" vertical="center" wrapText="1"/>
    </xf>
    <xf numFmtId="0" fontId="1" fillId="0" borderId="0" xfId="451" applyAlignment="1">
      <alignment horizontal="left" wrapText="1"/>
    </xf>
    <xf numFmtId="0" fontId="51" fillId="0" borderId="25" xfId="451" applyFont="1" applyBorder="1" applyAlignment="1">
      <alignment horizontal="left" vertical="center"/>
    </xf>
    <xf numFmtId="0" fontId="51" fillId="0" borderId="26" xfId="451" applyFont="1" applyBorder="1" applyAlignment="1">
      <alignment horizontal="left" vertical="center"/>
    </xf>
    <xf numFmtId="0" fontId="51" fillId="0" borderId="27" xfId="451" applyFont="1" applyBorder="1" applyAlignment="1">
      <alignment horizontal="left" vertical="center"/>
    </xf>
    <xf numFmtId="0" fontId="53" fillId="0" borderId="38" xfId="451" applyFont="1" applyBorder="1" applyAlignment="1">
      <alignment vertical="center" wrapText="1"/>
    </xf>
    <xf numFmtId="0" fontId="53" fillId="0" borderId="41" xfId="451" applyFont="1" applyBorder="1" applyAlignment="1">
      <alignment vertical="center" wrapText="1"/>
    </xf>
    <xf numFmtId="0" fontId="53" fillId="0" borderId="48" xfId="451" applyFont="1" applyBorder="1" applyAlignment="1">
      <alignment vertical="center" wrapText="1"/>
    </xf>
    <xf numFmtId="0" fontId="51" fillId="0" borderId="36" xfId="451" applyFont="1" applyBorder="1" applyAlignment="1">
      <alignment horizontal="left" vertical="center"/>
    </xf>
    <xf numFmtId="0" fontId="51" fillId="0" borderId="53" xfId="451" applyFont="1" applyBorder="1" applyAlignment="1">
      <alignment horizontal="left" vertical="center"/>
    </xf>
    <xf numFmtId="0" fontId="51" fillId="0" borderId="54" xfId="451" applyFont="1" applyBorder="1" applyAlignment="1">
      <alignment horizontal="left" vertical="center"/>
    </xf>
    <xf numFmtId="0" fontId="51" fillId="0" borderId="21" xfId="451" applyFont="1" applyBorder="1" applyAlignment="1">
      <alignment horizontal="left" vertical="center"/>
    </xf>
    <xf numFmtId="0" fontId="51" fillId="0" borderId="20" xfId="451" applyFont="1" applyBorder="1" applyAlignment="1">
      <alignment horizontal="left" vertical="center"/>
    </xf>
    <xf numFmtId="0" fontId="51" fillId="0" borderId="29" xfId="451" applyFont="1" applyBorder="1" applyAlignment="1">
      <alignment horizontal="left" vertical="center"/>
    </xf>
    <xf numFmtId="0" fontId="51" fillId="0" borderId="52" xfId="451" applyFont="1" applyBorder="1" applyAlignment="1">
      <alignment horizontal="left" vertical="center"/>
    </xf>
    <xf numFmtId="0" fontId="51" fillId="0" borderId="3" xfId="451" applyFont="1" applyBorder="1" applyAlignment="1">
      <alignment horizontal="left" vertical="center"/>
    </xf>
    <xf numFmtId="0" fontId="51" fillId="0" borderId="51" xfId="451" applyFont="1" applyBorder="1" applyAlignment="1">
      <alignment horizontal="left" vertical="center"/>
    </xf>
    <xf numFmtId="0" fontId="51" fillId="0" borderId="22" xfId="451" applyFont="1" applyBorder="1" applyAlignment="1">
      <alignment horizontal="center" vertical="center"/>
    </xf>
    <xf numFmtId="0" fontId="51" fillId="0" borderId="3" xfId="451" applyFont="1" applyBorder="1" applyAlignment="1">
      <alignment horizontal="center" vertical="center"/>
    </xf>
    <xf numFmtId="0" fontId="51" fillId="0" borderId="51" xfId="451" applyFont="1" applyBorder="1" applyAlignment="1">
      <alignment horizontal="center" vertic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57" fillId="0" borderId="4" xfId="0" applyFont="1" applyBorder="1" applyAlignment="1">
      <alignment horizontal="center" vertical="center"/>
    </xf>
    <xf numFmtId="0" fontId="58" fillId="0" borderId="38" xfId="0" applyFont="1" applyBorder="1" applyAlignment="1">
      <alignment horizontal="center" vertical="top" wrapText="1"/>
    </xf>
    <xf numFmtId="0" fontId="58" fillId="0" borderId="48" xfId="0" applyFont="1" applyBorder="1" applyAlignment="1">
      <alignment horizontal="center" vertical="top" wrapText="1"/>
    </xf>
    <xf numFmtId="0" fontId="58" fillId="0" borderId="50" xfId="0" applyFont="1" applyBorder="1" applyAlignment="1">
      <alignment vertical="top" wrapText="1"/>
    </xf>
    <xf numFmtId="0" fontId="58" fillId="0" borderId="55" xfId="0" applyFont="1" applyBorder="1" applyAlignment="1">
      <alignment vertical="top" wrapText="1"/>
    </xf>
  </cellXfs>
  <cellStyles count="454">
    <cellStyle name="%" xfId="1"/>
    <cellStyle name="_9.28----附表1" xfId="2"/>
    <cellStyle name="_Abis接口IP化报价表v2.0" xfId="3"/>
    <cellStyle name="_CMCC RAN requirement 2006_to VF_05302006" xfId="4"/>
    <cellStyle name="_Cover" xfId="5"/>
    <cellStyle name="_ET_STYLE_NoName_00_" xfId="6"/>
    <cellStyle name="_GSM G9 Quotation Template 20050221" xfId="7"/>
    <cellStyle name="_GSM-T Quotation Template 20050324NEW" xfId="8"/>
    <cellStyle name="_L3-CG" xfId="9"/>
    <cellStyle name="_参数区" xfId="10"/>
    <cellStyle name="_第三册：报价格式-汇总表（新技术）-1.20" xfId="11"/>
    <cellStyle name="_基站模板" xfId="12"/>
    <cellStyle name="_莱芜BSS-900M" xfId="13"/>
    <cellStyle name="_新技术软件报价表" xfId="14"/>
    <cellStyle name="_中国区GSM集采项目-EXCEL页眉页脚模板" xfId="15"/>
    <cellStyle name="=C:\WINNT\SYSTEM32\COMMAND.COM" xfId="16"/>
    <cellStyle name="0,0_x000d__x000a_NA_x000d__x000a_" xfId="17"/>
    <cellStyle name="0,0_x000d__x000a_NA_x000d__x000a_ 2 2" xfId="18"/>
    <cellStyle name="0,0_x000d__x000a_NA_x000d__x000a_ 2 2 2 2" xfId="19"/>
    <cellStyle name="0,0_x000d__x000a_NA_x000d__x000a_ 2 2 3" xfId="20"/>
    <cellStyle name="0,0_x000d__x000a_NA_x000d__x000a_ 3" xfId="21"/>
    <cellStyle name="20% - 强调文字颜色 1 2" xfId="22"/>
    <cellStyle name="20% - 强调文字颜色 2 2" xfId="23"/>
    <cellStyle name="20% - 强调文字颜色 3 2" xfId="24"/>
    <cellStyle name="20% - 强调文字颜色 4 2" xfId="25"/>
    <cellStyle name="20% - 强调文字颜色 5 2" xfId="26"/>
    <cellStyle name="20% - 强调文字颜色 6 2" xfId="27"/>
    <cellStyle name="40% - 强调文字颜色 1 2" xfId="28"/>
    <cellStyle name="40% - 强调文字颜色 2 2" xfId="29"/>
    <cellStyle name="40% - 强调文字颜色 3 2" xfId="30"/>
    <cellStyle name="40% - 强调文字颜色 4 2" xfId="31"/>
    <cellStyle name="40% - 强调文字颜色 5 2" xfId="32"/>
    <cellStyle name="40% - 强调文字颜色 6 2" xfId="33"/>
    <cellStyle name="60% - 强调文字颜色 1 2" xfId="34"/>
    <cellStyle name="60% - 强调文字颜色 2 2" xfId="35"/>
    <cellStyle name="60% - 强调文字颜色 3 2" xfId="36"/>
    <cellStyle name="60% - 强调文字颜色 4 2" xfId="37"/>
    <cellStyle name="60% - 强调文字颜色 5 2" xfId="38"/>
    <cellStyle name="60% - 强调文字颜色 6 2" xfId="39"/>
    <cellStyle name="ÅëÈ­ [0]_laroux" xfId="40"/>
    <cellStyle name="ÅëÈ­_laroux" xfId="41"/>
    <cellStyle name="ÄÞ¸¶ [0]_laroux" xfId="42"/>
    <cellStyle name="ÄÞ¸¶_laroux" xfId="43"/>
    <cellStyle name="Body" xfId="44"/>
    <cellStyle name="Ç¥ÁØ_ÀÎÀç°³¹ß¿ø" xfId="45"/>
    <cellStyle name="Calc Currency (0)" xfId="46"/>
    <cellStyle name="Comma  - Style1" xfId="47"/>
    <cellStyle name="Comma  - Style2" xfId="48"/>
    <cellStyle name="Comma  - Style3" xfId="49"/>
    <cellStyle name="Comma  - Style4" xfId="50"/>
    <cellStyle name="Comma  - Style5" xfId="51"/>
    <cellStyle name="Comma  - Style6" xfId="52"/>
    <cellStyle name="Comma  - Style7" xfId="53"/>
    <cellStyle name="Comma  - Style8" xfId="54"/>
    <cellStyle name="Comma [0]_1" xfId="55"/>
    <cellStyle name="Comma_1" xfId="56"/>
    <cellStyle name="Comma0 - Modelo1" xfId="57"/>
    <cellStyle name="Comma0 - Style1" xfId="58"/>
    <cellStyle name="Comma1 - Modelo2" xfId="59"/>
    <cellStyle name="Comma1 - Style2" xfId="60"/>
    <cellStyle name="Currency [0]_0021120020312011backup" xfId="61"/>
    <cellStyle name="Currency_0021120020312011backup" xfId="62"/>
    <cellStyle name="Dia" xfId="63"/>
    <cellStyle name="Encabez1" xfId="64"/>
    <cellStyle name="Encabez2" xfId="65"/>
    <cellStyle name="entry box" xfId="66"/>
    <cellStyle name="F2" xfId="67"/>
    <cellStyle name="F3" xfId="68"/>
    <cellStyle name="F4" xfId="69"/>
    <cellStyle name="F5" xfId="70"/>
    <cellStyle name="F6" xfId="71"/>
    <cellStyle name="F7" xfId="72"/>
    <cellStyle name="F8" xfId="73"/>
    <cellStyle name="Fijo" xfId="74"/>
    <cellStyle name="Financiero" xfId="75"/>
    <cellStyle name="Followed Hyperlink_综合接入网报价模板(2002.8.5)" xfId="76"/>
    <cellStyle name="Grey" xfId="77"/>
    <cellStyle name="HEADER" xfId="78"/>
    <cellStyle name="Header1" xfId="79"/>
    <cellStyle name="Header2" xfId="80"/>
    <cellStyle name="Hyperlink_VERA" xfId="81"/>
    <cellStyle name="Input [yellow]" xfId="82"/>
    <cellStyle name="Millares [0]_10 AVERIAS MASIVAS + ANT" xfId="83"/>
    <cellStyle name="Millares_10 AVERIAS MASIVAS + ANT" xfId="84"/>
    <cellStyle name="Model" xfId="85"/>
    <cellStyle name="Moneda [0]_10 AVERIAS MASIVAS + ANT" xfId="86"/>
    <cellStyle name="Moneda_10 AVERIAS MASIVAS + ANT" xfId="87"/>
    <cellStyle name="Monetario" xfId="88"/>
    <cellStyle name="no dec" xfId="89"/>
    <cellStyle name="Normal - Style1" xfId="90"/>
    <cellStyle name="Normal_~0034893" xfId="91"/>
    <cellStyle name="Normalny_Arkusz1" xfId="92"/>
    <cellStyle name="Percent [2]" xfId="93"/>
    <cellStyle name="Porcentaje" xfId="94"/>
    <cellStyle name="Prefilled" xfId="95"/>
    <cellStyle name="RM" xfId="96"/>
    <cellStyle name="subhead" xfId="97"/>
    <cellStyle name="Total" xfId="98"/>
    <cellStyle name="ปกติ_11wq42" xfId="99"/>
    <cellStyle name="标题 1 2" xfId="100"/>
    <cellStyle name="标题 2 2" xfId="101"/>
    <cellStyle name="标题 3 2" xfId="102"/>
    <cellStyle name="标题 4 2" xfId="103"/>
    <cellStyle name="标题 5" xfId="104"/>
    <cellStyle name="差 2" xfId="105"/>
    <cellStyle name="差_2.2.2.2.2 规范书应答偏离表" xfId="106"/>
    <cellStyle name="常规" xfId="0" builtinId="0"/>
    <cellStyle name="常规 10" xfId="451"/>
    <cellStyle name="常规 18" xfId="107"/>
    <cellStyle name="常规 2" xfId="108"/>
    <cellStyle name="常规 2 10" xfId="109"/>
    <cellStyle name="常规 2 11" xfId="110"/>
    <cellStyle name="常规 2 12" xfId="111"/>
    <cellStyle name="常规 2 13" xfId="112"/>
    <cellStyle name="常规 2 14" xfId="113"/>
    <cellStyle name="常规 2 15" xfId="114"/>
    <cellStyle name="常规 2 16" xfId="115"/>
    <cellStyle name="常规 2 17" xfId="116"/>
    <cellStyle name="常规 2 18" xfId="117"/>
    <cellStyle name="常规 2 19" xfId="118"/>
    <cellStyle name="常规 2 2" xfId="119"/>
    <cellStyle name="常规 2 2 2" xfId="120"/>
    <cellStyle name="常规 2 2 2 2" xfId="121"/>
    <cellStyle name="常规 2 2 2 2 2" xfId="122"/>
    <cellStyle name="常规 2 2 2 3" xfId="123"/>
    <cellStyle name="常规 2 2 2 3 2" xfId="124"/>
    <cellStyle name="常规 2 2 2 4" xfId="125"/>
    <cellStyle name="常规 2 2 2 4 2" xfId="126"/>
    <cellStyle name="常规 2 2 2 5" xfId="127"/>
    <cellStyle name="常规 2 2 2 5 2" xfId="128"/>
    <cellStyle name="常规 2 2 2 6" xfId="129"/>
    <cellStyle name="常规 2 2 3" xfId="130"/>
    <cellStyle name="常规 2 2 3 2" xfId="131"/>
    <cellStyle name="常规 2 2 4" xfId="132"/>
    <cellStyle name="常规 2 2 4 2" xfId="133"/>
    <cellStyle name="常规 2 2 5" xfId="134"/>
    <cellStyle name="常规 2 2 5 2" xfId="135"/>
    <cellStyle name="常规 2 2 6" xfId="136"/>
    <cellStyle name="常规 2 2 6 2" xfId="137"/>
    <cellStyle name="常规 2 2 7" xfId="138"/>
    <cellStyle name="常规 2 20" xfId="139"/>
    <cellStyle name="常规 2 21" xfId="140"/>
    <cellStyle name="常规 2 22" xfId="141"/>
    <cellStyle name="常规 2 23" xfId="142"/>
    <cellStyle name="常规 2 24" xfId="143"/>
    <cellStyle name="常规 2 25" xfId="144"/>
    <cellStyle name="常规 2 26" xfId="145"/>
    <cellStyle name="常规 2 3" xfId="146"/>
    <cellStyle name="常规 2 3 2" xfId="147"/>
    <cellStyle name="常规 2 3 2 2" xfId="148"/>
    <cellStyle name="常规 2 3 3" xfId="149"/>
    <cellStyle name="常规 2 3 3 2" xfId="150"/>
    <cellStyle name="常规 2 3 4" xfId="151"/>
    <cellStyle name="常规 2 3 4 2" xfId="152"/>
    <cellStyle name="常规 2 3 5" xfId="153"/>
    <cellStyle name="常规 2 3 5 2" xfId="154"/>
    <cellStyle name="常规 2 3 6" xfId="155"/>
    <cellStyle name="常规 2 4" xfId="156"/>
    <cellStyle name="常规 2 4 2" xfId="157"/>
    <cellStyle name="常规 2 4 3" xfId="158"/>
    <cellStyle name="常规 2 5" xfId="159"/>
    <cellStyle name="常规 2 5 2" xfId="160"/>
    <cellStyle name="常规 2 5 3" xfId="161"/>
    <cellStyle name="常规 2 6" xfId="162"/>
    <cellStyle name="常规 2 6 2" xfId="163"/>
    <cellStyle name="常规 2 6 3" xfId="164"/>
    <cellStyle name="常规 2 7" xfId="165"/>
    <cellStyle name="常规 2 7 2" xfId="166"/>
    <cellStyle name="常规 2 7 3" xfId="167"/>
    <cellStyle name="常规 2 8" xfId="168"/>
    <cellStyle name="常规 2 9" xfId="169"/>
    <cellStyle name="常规 3" xfId="170"/>
    <cellStyle name="常规 3 10" xfId="171"/>
    <cellStyle name="常规 3 11" xfId="172"/>
    <cellStyle name="常规 3 12" xfId="173"/>
    <cellStyle name="常规 3 13" xfId="174"/>
    <cellStyle name="常规 3 14" xfId="175"/>
    <cellStyle name="常规 3 15" xfId="176"/>
    <cellStyle name="常规 3 16" xfId="177"/>
    <cellStyle name="常规 3 17" xfId="178"/>
    <cellStyle name="常规 3 18" xfId="179"/>
    <cellStyle name="常规 3 19" xfId="180"/>
    <cellStyle name="常规 3 2" xfId="181"/>
    <cellStyle name="常规 3 2 2" xfId="182"/>
    <cellStyle name="常规 3 2 3" xfId="183"/>
    <cellStyle name="常规 3 20" xfId="184"/>
    <cellStyle name="常规 3 21" xfId="185"/>
    <cellStyle name="常规 3 22" xfId="186"/>
    <cellStyle name="常规 3 23" xfId="187"/>
    <cellStyle name="常规 3 24" xfId="188"/>
    <cellStyle name="常规 3 25" xfId="189"/>
    <cellStyle name="常规 3 3" xfId="190"/>
    <cellStyle name="常规 3 3 2" xfId="191"/>
    <cellStyle name="常规 3 3 3" xfId="192"/>
    <cellStyle name="常规 3 4" xfId="193"/>
    <cellStyle name="常规 3 4 2" xfId="194"/>
    <cellStyle name="常规 3 4 3" xfId="195"/>
    <cellStyle name="常规 3 5" xfId="196"/>
    <cellStyle name="常规 3 5 2" xfId="197"/>
    <cellStyle name="常规 3 5 3" xfId="198"/>
    <cellStyle name="常规 3 6" xfId="199"/>
    <cellStyle name="常规 3 7" xfId="200"/>
    <cellStyle name="常规 3 8" xfId="201"/>
    <cellStyle name="常规 3 9" xfId="202"/>
    <cellStyle name="常规 4" xfId="203"/>
    <cellStyle name="常规 4 10" xfId="204"/>
    <cellStyle name="常规 4 11" xfId="205"/>
    <cellStyle name="常规 4 12" xfId="206"/>
    <cellStyle name="常规 4 13" xfId="207"/>
    <cellStyle name="常规 4 14" xfId="208"/>
    <cellStyle name="常规 4 15" xfId="209"/>
    <cellStyle name="常规 4 16" xfId="210"/>
    <cellStyle name="常规 4 17" xfId="211"/>
    <cellStyle name="常规 4 18" xfId="212"/>
    <cellStyle name="常规 4 19" xfId="213"/>
    <cellStyle name="常规 4 2" xfId="214"/>
    <cellStyle name="常规 4 20" xfId="215"/>
    <cellStyle name="常规 4 21" xfId="216"/>
    <cellStyle name="常规 4 22" xfId="217"/>
    <cellStyle name="常规 4 23" xfId="218"/>
    <cellStyle name="常规 4 24" xfId="219"/>
    <cellStyle name="常规 4 25" xfId="220"/>
    <cellStyle name="常规 4 3" xfId="221"/>
    <cellStyle name="常规 4 4" xfId="222"/>
    <cellStyle name="常规 4 5" xfId="223"/>
    <cellStyle name="常规 4 6" xfId="224"/>
    <cellStyle name="常规 4 7" xfId="225"/>
    <cellStyle name="常规 4 8" xfId="226"/>
    <cellStyle name="常规 4 9" xfId="227"/>
    <cellStyle name="常规 5" xfId="228"/>
    <cellStyle name="常规 5 2" xfId="229"/>
    <cellStyle name="常规 6" xfId="230"/>
    <cellStyle name="常规 6 2" xfId="231"/>
    <cellStyle name="常规 7" xfId="232"/>
    <cellStyle name="常规 7 2" xfId="233"/>
    <cellStyle name="常规 8" xfId="234"/>
    <cellStyle name="常规 8 2" xfId="235"/>
    <cellStyle name="常规 9" xfId="236"/>
    <cellStyle name="常规_LTE无线网络和业务参数标定手册20100506(调整模版)" xfId="452"/>
    <cellStyle name="超级链接_~0055202" xfId="237"/>
    <cellStyle name="超链接" xfId="453" builtinId="8"/>
    <cellStyle name="好 2" xfId="238"/>
    <cellStyle name="好_2.2.2.2.2 规范书应答偏离表" xfId="239"/>
    <cellStyle name="后继超级链接_~0055202" xfId="240"/>
    <cellStyle name="汇总 2" xfId="241"/>
    <cellStyle name="货币 2" xfId="242"/>
    <cellStyle name="货币 3" xfId="243"/>
    <cellStyle name="计算 2" xfId="244"/>
    <cellStyle name="检查单元格 2" xfId="245"/>
    <cellStyle name="解释性文本 2" xfId="246"/>
    <cellStyle name="警告文本 2" xfId="247"/>
    <cellStyle name="链接单元格 2" xfId="248"/>
    <cellStyle name="普通_laroux" xfId="249"/>
    <cellStyle name="千分位[0]_laroux" xfId="250"/>
    <cellStyle name="千分位_laroux" xfId="251"/>
    <cellStyle name="千位[0]_laroux" xfId="252"/>
    <cellStyle name="千位_laroux" xfId="253"/>
    <cellStyle name="千位分隔 2" xfId="254"/>
    <cellStyle name="千位分隔 2 2" xfId="255"/>
    <cellStyle name="千位分隔 3" xfId="256"/>
    <cellStyle name="强调文字颜色 1 2" xfId="257"/>
    <cellStyle name="强调文字颜色 2 2" xfId="258"/>
    <cellStyle name="强调文字颜色 3 2" xfId="259"/>
    <cellStyle name="强调文字颜色 4 2" xfId="260"/>
    <cellStyle name="强调文字颜色 5 2" xfId="261"/>
    <cellStyle name="强调文字颜色 6 2" xfId="262"/>
    <cellStyle name="适中 2" xfId="263"/>
    <cellStyle name="输出 2" xfId="264"/>
    <cellStyle name="输入 2" xfId="265"/>
    <cellStyle name="样式 1" xfId="266"/>
    <cellStyle name="样式 1 2" xfId="267"/>
    <cellStyle name="样式 10" xfId="268"/>
    <cellStyle name="样式 100" xfId="269"/>
    <cellStyle name="样式 101" xfId="270"/>
    <cellStyle name="样式 102" xfId="271"/>
    <cellStyle name="样式 103" xfId="272"/>
    <cellStyle name="样式 104" xfId="273"/>
    <cellStyle name="样式 105" xfId="274"/>
    <cellStyle name="样式 106" xfId="275"/>
    <cellStyle name="样式 107" xfId="276"/>
    <cellStyle name="样式 108" xfId="277"/>
    <cellStyle name="样式 109" xfId="278"/>
    <cellStyle name="样式 11" xfId="279"/>
    <cellStyle name="样式 110" xfId="280"/>
    <cellStyle name="样式 111" xfId="281"/>
    <cellStyle name="样式 112" xfId="282"/>
    <cellStyle name="样式 113" xfId="283"/>
    <cellStyle name="样式 114" xfId="284"/>
    <cellStyle name="样式 115" xfId="285"/>
    <cellStyle name="样式 116" xfId="286"/>
    <cellStyle name="样式 117" xfId="287"/>
    <cellStyle name="样式 118" xfId="288"/>
    <cellStyle name="样式 119" xfId="289"/>
    <cellStyle name="样式 12" xfId="290"/>
    <cellStyle name="样式 120" xfId="291"/>
    <cellStyle name="样式 121" xfId="292"/>
    <cellStyle name="样式 122" xfId="293"/>
    <cellStyle name="样式 123" xfId="294"/>
    <cellStyle name="样式 124" xfId="295"/>
    <cellStyle name="样式 125" xfId="296"/>
    <cellStyle name="样式 126" xfId="297"/>
    <cellStyle name="样式 127" xfId="298"/>
    <cellStyle name="样式 128" xfId="299"/>
    <cellStyle name="样式 129" xfId="300"/>
    <cellStyle name="样式 13" xfId="301"/>
    <cellStyle name="样式 130" xfId="302"/>
    <cellStyle name="样式 131" xfId="303"/>
    <cellStyle name="样式 132" xfId="304"/>
    <cellStyle name="样式 133" xfId="305"/>
    <cellStyle name="样式 134" xfId="306"/>
    <cellStyle name="样式 135" xfId="307"/>
    <cellStyle name="样式 136" xfId="308"/>
    <cellStyle name="样式 137" xfId="309"/>
    <cellStyle name="样式 138" xfId="310"/>
    <cellStyle name="样式 139" xfId="311"/>
    <cellStyle name="样式 14" xfId="312"/>
    <cellStyle name="样式 140" xfId="313"/>
    <cellStyle name="样式 141" xfId="314"/>
    <cellStyle name="样式 142" xfId="315"/>
    <cellStyle name="样式 143" xfId="316"/>
    <cellStyle name="样式 144" xfId="317"/>
    <cellStyle name="样式 145" xfId="318"/>
    <cellStyle name="样式 146" xfId="319"/>
    <cellStyle name="样式 147" xfId="320"/>
    <cellStyle name="样式 148" xfId="321"/>
    <cellStyle name="样式 149" xfId="322"/>
    <cellStyle name="样式 15" xfId="323"/>
    <cellStyle name="样式 150" xfId="324"/>
    <cellStyle name="样式 151" xfId="325"/>
    <cellStyle name="样式 152" xfId="326"/>
    <cellStyle name="样式 153" xfId="327"/>
    <cellStyle name="样式 154" xfId="328"/>
    <cellStyle name="样式 155" xfId="329"/>
    <cellStyle name="样式 156" xfId="330"/>
    <cellStyle name="样式 157" xfId="331"/>
    <cellStyle name="样式 158" xfId="332"/>
    <cellStyle name="样式 159" xfId="333"/>
    <cellStyle name="样式 16" xfId="334"/>
    <cellStyle name="样式 160" xfId="335"/>
    <cellStyle name="样式 161" xfId="336"/>
    <cellStyle name="样式 162" xfId="337"/>
    <cellStyle name="样式 163" xfId="338"/>
    <cellStyle name="样式 164" xfId="339"/>
    <cellStyle name="样式 165" xfId="340"/>
    <cellStyle name="样式 166" xfId="341"/>
    <cellStyle name="样式 167" xfId="342"/>
    <cellStyle name="样式 168" xfId="343"/>
    <cellStyle name="样式 169" xfId="344"/>
    <cellStyle name="样式 17" xfId="345"/>
    <cellStyle name="样式 170" xfId="346"/>
    <cellStyle name="样式 171" xfId="347"/>
    <cellStyle name="样式 172" xfId="348"/>
    <cellStyle name="样式 173" xfId="349"/>
    <cellStyle name="样式 174" xfId="350"/>
    <cellStyle name="样式 175" xfId="351"/>
    <cellStyle name="样式 176" xfId="352"/>
    <cellStyle name="样式 177" xfId="353"/>
    <cellStyle name="样式 178" xfId="354"/>
    <cellStyle name="样式 179" xfId="355"/>
    <cellStyle name="样式 18" xfId="356"/>
    <cellStyle name="样式 180" xfId="357"/>
    <cellStyle name="样式 181" xfId="358"/>
    <cellStyle name="样式 182" xfId="359"/>
    <cellStyle name="样式 183" xfId="360"/>
    <cellStyle name="样式 19" xfId="361"/>
    <cellStyle name="样式 2" xfId="362"/>
    <cellStyle name="样式 20" xfId="363"/>
    <cellStyle name="样式 21" xfId="364"/>
    <cellStyle name="样式 22" xfId="365"/>
    <cellStyle name="样式 23" xfId="366"/>
    <cellStyle name="样式 24" xfId="367"/>
    <cellStyle name="样式 25" xfId="368"/>
    <cellStyle name="样式 26" xfId="369"/>
    <cellStyle name="样式 27" xfId="370"/>
    <cellStyle name="样式 28" xfId="371"/>
    <cellStyle name="样式 29" xfId="372"/>
    <cellStyle name="样式 3" xfId="373"/>
    <cellStyle name="样式 30" xfId="374"/>
    <cellStyle name="样式 31" xfId="375"/>
    <cellStyle name="样式 32" xfId="376"/>
    <cellStyle name="样式 33" xfId="377"/>
    <cellStyle name="样式 34" xfId="378"/>
    <cellStyle name="样式 35" xfId="379"/>
    <cellStyle name="样式 36" xfId="380"/>
    <cellStyle name="样式 37" xfId="381"/>
    <cellStyle name="样式 38" xfId="382"/>
    <cellStyle name="样式 39" xfId="383"/>
    <cellStyle name="样式 4" xfId="384"/>
    <cellStyle name="样式 40" xfId="385"/>
    <cellStyle name="样式 41" xfId="386"/>
    <cellStyle name="样式 42" xfId="387"/>
    <cellStyle name="样式 43" xfId="388"/>
    <cellStyle name="样式 44" xfId="389"/>
    <cellStyle name="样式 45" xfId="390"/>
    <cellStyle name="样式 46" xfId="391"/>
    <cellStyle name="样式 47" xfId="392"/>
    <cellStyle name="样式 48" xfId="393"/>
    <cellStyle name="样式 49" xfId="394"/>
    <cellStyle name="样式 5" xfId="395"/>
    <cellStyle name="样式 50" xfId="396"/>
    <cellStyle name="样式 51" xfId="397"/>
    <cellStyle name="样式 52" xfId="398"/>
    <cellStyle name="样式 53" xfId="399"/>
    <cellStyle name="样式 54" xfId="400"/>
    <cellStyle name="样式 55" xfId="401"/>
    <cellStyle name="样式 56" xfId="402"/>
    <cellStyle name="样式 57" xfId="403"/>
    <cellStyle name="样式 58" xfId="404"/>
    <cellStyle name="样式 59" xfId="405"/>
    <cellStyle name="样式 6" xfId="406"/>
    <cellStyle name="样式 60" xfId="407"/>
    <cellStyle name="样式 61" xfId="408"/>
    <cellStyle name="样式 62" xfId="409"/>
    <cellStyle name="样式 63" xfId="410"/>
    <cellStyle name="样式 64" xfId="411"/>
    <cellStyle name="样式 65" xfId="412"/>
    <cellStyle name="样式 66" xfId="413"/>
    <cellStyle name="样式 67" xfId="414"/>
    <cellStyle name="样式 68" xfId="415"/>
    <cellStyle name="样式 69" xfId="416"/>
    <cellStyle name="样式 7" xfId="417"/>
    <cellStyle name="样式 70" xfId="418"/>
    <cellStyle name="样式 71" xfId="419"/>
    <cellStyle name="样式 72" xfId="420"/>
    <cellStyle name="样式 73" xfId="421"/>
    <cellStyle name="样式 74" xfId="422"/>
    <cellStyle name="样式 75" xfId="423"/>
    <cellStyle name="样式 76" xfId="424"/>
    <cellStyle name="样式 77" xfId="425"/>
    <cellStyle name="样式 78" xfId="426"/>
    <cellStyle name="样式 79" xfId="427"/>
    <cellStyle name="样式 8" xfId="428"/>
    <cellStyle name="样式 80" xfId="429"/>
    <cellStyle name="样式 81" xfId="430"/>
    <cellStyle name="样式 82" xfId="431"/>
    <cellStyle name="样式 83" xfId="432"/>
    <cellStyle name="样式 84" xfId="433"/>
    <cellStyle name="样式 85" xfId="434"/>
    <cellStyle name="样式 86" xfId="435"/>
    <cellStyle name="样式 87" xfId="436"/>
    <cellStyle name="样式 88" xfId="437"/>
    <cellStyle name="样式 89" xfId="438"/>
    <cellStyle name="样式 9" xfId="439"/>
    <cellStyle name="样式 90" xfId="440"/>
    <cellStyle name="样式 91" xfId="441"/>
    <cellStyle name="样式 92" xfId="442"/>
    <cellStyle name="样式 93" xfId="443"/>
    <cellStyle name="样式 94" xfId="444"/>
    <cellStyle name="样式 95" xfId="445"/>
    <cellStyle name="样式 96" xfId="446"/>
    <cellStyle name="样式 97" xfId="447"/>
    <cellStyle name="样式 98" xfId="448"/>
    <cellStyle name="样式 99" xfId="449"/>
    <cellStyle name="注释 2" xfId="450"/>
  </cellStyles>
  <dxfs count="7">
    <dxf>
      <font>
        <b/>
        <i val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ont>
        <b/>
        <i val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numFmt numFmtId="0" formatCode="General"/>
      <fill>
        <patternFill>
          <bgColor theme="2" tint="-0.499984740745262"/>
        </patternFill>
      </fill>
    </dxf>
  </dxfs>
  <tableStyles count="0" defaultTableStyle="TableStyleMedium2" defaultPivotStyle="PivotStyleMedium9"/>
  <colors>
    <mruColors>
      <color rgb="FFCCFF99"/>
      <color rgb="FF646C6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wmf"/><Relationship Id="rId2" Type="http://schemas.openxmlformats.org/officeDocument/2006/relationships/image" Target="../media/image17.wmf"/><Relationship Id="rId1" Type="http://schemas.openxmlformats.org/officeDocument/2006/relationships/image" Target="../media/image16.w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wmf"/><Relationship Id="rId13" Type="http://schemas.openxmlformats.org/officeDocument/2006/relationships/image" Target="../media/image13.wmf"/><Relationship Id="rId3" Type="http://schemas.openxmlformats.org/officeDocument/2006/relationships/image" Target="../media/image3.wmf"/><Relationship Id="rId7" Type="http://schemas.openxmlformats.org/officeDocument/2006/relationships/image" Target="../media/image7.wmf"/><Relationship Id="rId12" Type="http://schemas.openxmlformats.org/officeDocument/2006/relationships/image" Target="../media/image12.wmf"/><Relationship Id="rId2" Type="http://schemas.openxmlformats.org/officeDocument/2006/relationships/image" Target="../media/image2.wmf"/><Relationship Id="rId1" Type="http://schemas.openxmlformats.org/officeDocument/2006/relationships/image" Target="../media/image1.wmf"/><Relationship Id="rId6" Type="http://schemas.openxmlformats.org/officeDocument/2006/relationships/image" Target="../media/image6.emf"/><Relationship Id="rId11" Type="http://schemas.openxmlformats.org/officeDocument/2006/relationships/image" Target="../media/image11.wmf"/><Relationship Id="rId5" Type="http://schemas.openxmlformats.org/officeDocument/2006/relationships/image" Target="../media/image5.wmf"/><Relationship Id="rId15" Type="http://schemas.openxmlformats.org/officeDocument/2006/relationships/image" Target="../media/image15.wmf"/><Relationship Id="rId10" Type="http://schemas.openxmlformats.org/officeDocument/2006/relationships/image" Target="../media/image10.wmf"/><Relationship Id="rId4" Type="http://schemas.openxmlformats.org/officeDocument/2006/relationships/image" Target="../media/image4.wmf"/><Relationship Id="rId9" Type="http://schemas.openxmlformats.org/officeDocument/2006/relationships/image" Target="../media/image9.wmf"/><Relationship Id="rId14" Type="http://schemas.openxmlformats.org/officeDocument/2006/relationships/image" Target="../media/image14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2</xdr:row>
          <xdr:rowOff>0</xdr:rowOff>
        </xdr:from>
        <xdr:to>
          <xdr:col>4</xdr:col>
          <xdr:colOff>676275</xdr:colOff>
          <xdr:row>3</xdr:row>
          <xdr:rowOff>161925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目录更新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140970</xdr:colOff>
      <xdr:row>92</xdr:row>
      <xdr:rowOff>32385</xdr:rowOff>
    </xdr:from>
    <xdr:to>
      <xdr:col>28</xdr:col>
      <xdr:colOff>140970</xdr:colOff>
      <xdr:row>92</xdr:row>
      <xdr:rowOff>32385</xdr:rowOff>
    </xdr:to>
    <xdr:cxnSp macro="">
      <xdr:nvCxnSpPr>
        <xdr:cNvPr id="4" name="直接箭头连接符 3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CxnSpPr/>
      </xdr:nvCxnSpPr>
      <xdr:spPr>
        <a:xfrm>
          <a:off x="13171170" y="8090535"/>
          <a:ext cx="61722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251460</xdr:colOff>
      <xdr:row>50</xdr:row>
      <xdr:rowOff>36195</xdr:rowOff>
    </xdr:from>
    <xdr:to>
      <xdr:col>18</xdr:col>
      <xdr:colOff>259080</xdr:colOff>
      <xdr:row>62</xdr:row>
      <xdr:rowOff>144780</xdr:rowOff>
    </xdr:to>
    <xdr:cxnSp macro="">
      <xdr:nvCxnSpPr>
        <xdr:cNvPr id="5" name="直接箭头连接符 4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CxnSpPr/>
      </xdr:nvCxnSpPr>
      <xdr:spPr>
        <a:xfrm flipH="1" flipV="1">
          <a:off x="12595860" y="550545"/>
          <a:ext cx="7620" cy="21659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19050</xdr:rowOff>
        </xdr:from>
        <xdr:to>
          <xdr:col>0</xdr:col>
          <xdr:colOff>514350</xdr:colOff>
          <xdr:row>2</xdr:row>
          <xdr:rowOff>28575</xdr:rowOff>
        </xdr:to>
        <xdr:sp macro="" textlink="">
          <xdr:nvSpPr>
            <xdr:cNvPr id="13313" name="Object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28575</xdr:rowOff>
        </xdr:from>
        <xdr:to>
          <xdr:col>1</xdr:col>
          <xdr:colOff>457200</xdr:colOff>
          <xdr:row>2</xdr:row>
          <xdr:rowOff>38100</xdr:rowOff>
        </xdr:to>
        <xdr:sp macro="" textlink="">
          <xdr:nvSpPr>
            <xdr:cNvPr id="13314" name="Object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3</xdr:col>
          <xdr:colOff>438150</xdr:colOff>
          <xdr:row>2</xdr:row>
          <xdr:rowOff>9525</xdr:rowOff>
        </xdr:to>
        <xdr:sp macro="" textlink="">
          <xdr:nvSpPr>
            <xdr:cNvPr id="13315" name="Object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5</xdr:col>
          <xdr:colOff>447675</xdr:colOff>
          <xdr:row>2</xdr:row>
          <xdr:rowOff>9525</xdr:rowOff>
        </xdr:to>
        <xdr:sp macro="" textlink="">
          <xdr:nvSpPr>
            <xdr:cNvPr id="13316" name="Object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0</xdr:rowOff>
        </xdr:from>
        <xdr:to>
          <xdr:col>7</xdr:col>
          <xdr:colOff>438150</xdr:colOff>
          <xdr:row>2</xdr:row>
          <xdr:rowOff>9525</xdr:rowOff>
        </xdr:to>
        <xdr:sp macro="" textlink="">
          <xdr:nvSpPr>
            <xdr:cNvPr id="13317" name="Object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952500</xdr:colOff>
          <xdr:row>1</xdr:row>
          <xdr:rowOff>161925</xdr:rowOff>
        </xdr:from>
        <xdr:to>
          <xdr:col>2</xdr:col>
          <xdr:colOff>238125</xdr:colOff>
          <xdr:row>3</xdr:row>
          <xdr:rowOff>85725</xdr:rowOff>
        </xdr:to>
        <xdr:sp macro="" textlink="">
          <xdr:nvSpPr>
            <xdr:cNvPr id="13318" name="Object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2</xdr:col>
          <xdr:colOff>190500</xdr:colOff>
          <xdr:row>3</xdr:row>
          <xdr:rowOff>9525</xdr:rowOff>
        </xdr:to>
        <xdr:sp macro="" textlink="">
          <xdr:nvSpPr>
            <xdr:cNvPr id="13319" name="Object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3</xdr:col>
          <xdr:colOff>352425</xdr:colOff>
          <xdr:row>3</xdr:row>
          <xdr:rowOff>19050</xdr:rowOff>
        </xdr:to>
        <xdr:sp macro="" textlink="">
          <xdr:nvSpPr>
            <xdr:cNvPr id="13320" name="Object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4</xdr:col>
          <xdr:colOff>180975</xdr:colOff>
          <xdr:row>3</xdr:row>
          <xdr:rowOff>9525</xdr:rowOff>
        </xdr:to>
        <xdr:sp macro="" textlink="">
          <xdr:nvSpPr>
            <xdr:cNvPr id="13321" name="Object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5</xdr:col>
          <xdr:colOff>371475</xdr:colOff>
          <xdr:row>3</xdr:row>
          <xdr:rowOff>19050</xdr:rowOff>
        </xdr:to>
        <xdr:sp macro="" textlink="">
          <xdr:nvSpPr>
            <xdr:cNvPr id="13322" name="Object 10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6</xdr:col>
          <xdr:colOff>190500</xdr:colOff>
          <xdr:row>3</xdr:row>
          <xdr:rowOff>9525</xdr:rowOff>
        </xdr:to>
        <xdr:sp macro="" textlink="">
          <xdr:nvSpPr>
            <xdr:cNvPr id="13323" name="Object 11" hidden="1">
              <a:extLst>
                <a:ext uri="{63B3BB69-23CF-44E3-9099-C40C66FF867C}">
                  <a14:compatExt spid="_x0000_s13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</xdr:row>
          <xdr:rowOff>0</xdr:rowOff>
        </xdr:from>
        <xdr:to>
          <xdr:col>7</xdr:col>
          <xdr:colOff>371475</xdr:colOff>
          <xdr:row>3</xdr:row>
          <xdr:rowOff>19050</xdr:rowOff>
        </xdr:to>
        <xdr:sp macro="" textlink="">
          <xdr:nvSpPr>
            <xdr:cNvPr id="13324" name="Object 12" hidden="1">
              <a:extLst>
                <a:ext uri="{63B3BB69-23CF-44E3-9099-C40C66FF867C}">
                  <a14:compatExt spid="_x0000_s13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8</xdr:col>
          <xdr:colOff>190500</xdr:colOff>
          <xdr:row>3</xdr:row>
          <xdr:rowOff>9525</xdr:rowOff>
        </xdr:to>
        <xdr:sp macro="" textlink="">
          <xdr:nvSpPr>
            <xdr:cNvPr id="13325" name="Object 13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247650</xdr:colOff>
      <xdr:row>67</xdr:row>
      <xdr:rowOff>122320</xdr:rowOff>
    </xdr:from>
    <xdr:to>
      <xdr:col>3</xdr:col>
      <xdr:colOff>0</xdr:colOff>
      <xdr:row>71</xdr:row>
      <xdr:rowOff>141369</xdr:rowOff>
    </xdr:to>
    <xdr:pic>
      <xdr:nvPicPr>
        <xdr:cNvPr id="15" name="图片 14"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12238120"/>
          <a:ext cx="2095500" cy="70484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</xdr:col>
      <xdr:colOff>142875</xdr:colOff>
      <xdr:row>67</xdr:row>
      <xdr:rowOff>104775</xdr:rowOff>
    </xdr:from>
    <xdr:to>
      <xdr:col>9</xdr:col>
      <xdr:colOff>561975</xdr:colOff>
      <xdr:row>72</xdr:row>
      <xdr:rowOff>85725</xdr:rowOff>
    </xdr:to>
    <xdr:pic>
      <xdr:nvPicPr>
        <xdr:cNvPr id="16" name="图片 15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6025" y="12220575"/>
          <a:ext cx="4533900" cy="8382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135355</xdr:colOff>
      <xdr:row>72</xdr:row>
      <xdr:rowOff>31583</xdr:rowOff>
    </xdr:from>
    <xdr:to>
      <xdr:col>5</xdr:col>
      <xdr:colOff>205205</xdr:colOff>
      <xdr:row>74</xdr:row>
      <xdr:rowOff>260183</xdr:rowOff>
    </xdr:to>
    <xdr:pic>
      <xdr:nvPicPr>
        <xdr:cNvPr id="17" name="图片 16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355" y="13004633"/>
          <a:ext cx="3784600" cy="571500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78</xdr:row>
          <xdr:rowOff>161925</xdr:rowOff>
        </xdr:from>
        <xdr:to>
          <xdr:col>3</xdr:col>
          <xdr:colOff>47625</xdr:colOff>
          <xdr:row>82</xdr:row>
          <xdr:rowOff>38100</xdr:rowOff>
        </xdr:to>
        <xdr:sp macro="" textlink="">
          <xdr:nvSpPr>
            <xdr:cNvPr id="13326" name="Object 14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82</xdr:row>
          <xdr:rowOff>76200</xdr:rowOff>
        </xdr:from>
        <xdr:to>
          <xdr:col>7</xdr:col>
          <xdr:colOff>266700</xdr:colOff>
          <xdr:row>87</xdr:row>
          <xdr:rowOff>85725</xdr:rowOff>
        </xdr:to>
        <xdr:sp macro="" textlink="">
          <xdr:nvSpPr>
            <xdr:cNvPr id="13327" name="Object 15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&#22810;&#29992;&#25143;&#26102;&#39057;&#22495;&#36164;&#28304;&#21028;&#26029;.xlsm" TargetMode="External"/><Relationship Id="rId13" Type="http://schemas.openxmlformats.org/officeDocument/2006/relationships/hyperlink" Target="&#22810;&#29992;&#25143;&#26102;&#39057;&#22495;&#36164;&#28304;&#21028;&#26029;.xlsm" TargetMode="External"/><Relationship Id="rId3" Type="http://schemas.openxmlformats.org/officeDocument/2006/relationships/hyperlink" Target="&#22810;&#29992;&#25143;&#26102;&#39057;&#22495;&#36164;&#28304;&#21028;&#26029;.xlsm" TargetMode="External"/><Relationship Id="rId7" Type="http://schemas.openxmlformats.org/officeDocument/2006/relationships/hyperlink" Target="&#22810;&#29992;&#25143;&#26102;&#39057;&#22495;&#36164;&#28304;&#21028;&#26029;.xlsm" TargetMode="External"/><Relationship Id="rId12" Type="http://schemas.openxmlformats.org/officeDocument/2006/relationships/hyperlink" Target="&#22810;&#29992;&#25143;&#26102;&#39057;&#22495;&#36164;&#28304;&#21028;&#26029;.xlsm" TargetMode="External"/><Relationship Id="rId17" Type="http://schemas.openxmlformats.org/officeDocument/2006/relationships/ctrlProp" Target="../ctrlProps/ctrlProp1.xml"/><Relationship Id="rId2" Type="http://schemas.openxmlformats.org/officeDocument/2006/relationships/hyperlink" Target="&#22810;&#29992;&#25143;&#26102;&#39057;&#22495;&#36164;&#28304;&#21028;&#26029;.xlsm" TargetMode="External"/><Relationship Id="rId16" Type="http://schemas.openxmlformats.org/officeDocument/2006/relationships/vmlDrawing" Target="../drawings/vmlDrawing1.vml"/><Relationship Id="rId1" Type="http://schemas.openxmlformats.org/officeDocument/2006/relationships/hyperlink" Target="&#22810;&#29992;&#25143;&#26102;&#39057;&#22495;&#36164;&#28304;&#21028;&#26029;.xlsm" TargetMode="External"/><Relationship Id="rId6" Type="http://schemas.openxmlformats.org/officeDocument/2006/relationships/hyperlink" Target="&#22810;&#29992;&#25143;&#26102;&#39057;&#22495;&#36164;&#28304;&#21028;&#26029;.xlsm" TargetMode="External"/><Relationship Id="rId11" Type="http://schemas.openxmlformats.org/officeDocument/2006/relationships/hyperlink" Target="&#22810;&#29992;&#25143;&#26102;&#39057;&#22495;&#36164;&#28304;&#21028;&#26029;.xlsm" TargetMode="External"/><Relationship Id="rId5" Type="http://schemas.openxmlformats.org/officeDocument/2006/relationships/hyperlink" Target="&#22810;&#29992;&#25143;&#26102;&#39057;&#22495;&#36164;&#28304;&#21028;&#26029;.xlsm" TargetMode="External"/><Relationship Id="rId15" Type="http://schemas.openxmlformats.org/officeDocument/2006/relationships/drawing" Target="../drawings/drawing1.xml"/><Relationship Id="rId10" Type="http://schemas.openxmlformats.org/officeDocument/2006/relationships/hyperlink" Target="&#22810;&#29992;&#25143;&#26102;&#39057;&#22495;&#36164;&#28304;&#21028;&#26029;.xlsm" TargetMode="External"/><Relationship Id="rId4" Type="http://schemas.openxmlformats.org/officeDocument/2006/relationships/hyperlink" Target="&#22810;&#29992;&#25143;&#26102;&#39057;&#22495;&#36164;&#28304;&#21028;&#26029;.xlsm" TargetMode="External"/><Relationship Id="rId9" Type="http://schemas.openxmlformats.org/officeDocument/2006/relationships/hyperlink" Target="&#22810;&#29992;&#25143;&#26102;&#39057;&#22495;&#36164;&#28304;&#21028;&#26029;.xlsm" TargetMode="External"/><Relationship Id="rId1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13" Type="http://schemas.openxmlformats.org/officeDocument/2006/relationships/image" Target="../media/image5.wmf"/><Relationship Id="rId18" Type="http://schemas.openxmlformats.org/officeDocument/2006/relationships/oleObject" Target="../embeddings/oleObject8.bin"/><Relationship Id="rId26" Type="http://schemas.openxmlformats.org/officeDocument/2006/relationships/oleObject" Target="../embeddings/oleObject12.bin"/><Relationship Id="rId3" Type="http://schemas.openxmlformats.org/officeDocument/2006/relationships/vmlDrawing" Target="../drawings/vmlDrawing3.vml"/><Relationship Id="rId21" Type="http://schemas.openxmlformats.org/officeDocument/2006/relationships/image" Target="../media/image9.wmf"/><Relationship Id="rId7" Type="http://schemas.openxmlformats.org/officeDocument/2006/relationships/image" Target="../media/image2.wmf"/><Relationship Id="rId12" Type="http://schemas.openxmlformats.org/officeDocument/2006/relationships/oleObject" Target="../embeddings/oleObject5.bin"/><Relationship Id="rId17" Type="http://schemas.openxmlformats.org/officeDocument/2006/relationships/image" Target="../media/image7.wmf"/><Relationship Id="rId25" Type="http://schemas.openxmlformats.org/officeDocument/2006/relationships/image" Target="../media/image11.wmf"/><Relationship Id="rId33" Type="http://schemas.openxmlformats.org/officeDocument/2006/relationships/image" Target="../media/image15.wmf"/><Relationship Id="rId2" Type="http://schemas.openxmlformats.org/officeDocument/2006/relationships/drawing" Target="../drawings/drawing3.xml"/><Relationship Id="rId16" Type="http://schemas.openxmlformats.org/officeDocument/2006/relationships/oleObject" Target="../embeddings/oleObject7.bin"/><Relationship Id="rId20" Type="http://schemas.openxmlformats.org/officeDocument/2006/relationships/oleObject" Target="../embeddings/oleObject9.bin"/><Relationship Id="rId29" Type="http://schemas.openxmlformats.org/officeDocument/2006/relationships/image" Target="../media/image13.wmf"/><Relationship Id="rId1" Type="http://schemas.openxmlformats.org/officeDocument/2006/relationships/printerSettings" Target="../printerSettings/printerSettings11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wmf"/><Relationship Id="rId24" Type="http://schemas.openxmlformats.org/officeDocument/2006/relationships/oleObject" Target="../embeddings/oleObject11.bin"/><Relationship Id="rId32" Type="http://schemas.openxmlformats.org/officeDocument/2006/relationships/oleObject" Target="../embeddings/oleObject15.bin"/><Relationship Id="rId5" Type="http://schemas.openxmlformats.org/officeDocument/2006/relationships/image" Target="../media/image1.wmf"/><Relationship Id="rId15" Type="http://schemas.openxmlformats.org/officeDocument/2006/relationships/image" Target="../media/image6.emf"/><Relationship Id="rId23" Type="http://schemas.openxmlformats.org/officeDocument/2006/relationships/image" Target="../media/image10.wmf"/><Relationship Id="rId28" Type="http://schemas.openxmlformats.org/officeDocument/2006/relationships/oleObject" Target="../embeddings/oleObject13.bin"/><Relationship Id="rId10" Type="http://schemas.openxmlformats.org/officeDocument/2006/relationships/oleObject" Target="../embeddings/oleObject4.bin"/><Relationship Id="rId19" Type="http://schemas.openxmlformats.org/officeDocument/2006/relationships/image" Target="../media/image8.wmf"/><Relationship Id="rId31" Type="http://schemas.openxmlformats.org/officeDocument/2006/relationships/image" Target="../media/image14.w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wmf"/><Relationship Id="rId14" Type="http://schemas.openxmlformats.org/officeDocument/2006/relationships/oleObject" Target="../embeddings/oleObject6.bin"/><Relationship Id="rId22" Type="http://schemas.openxmlformats.org/officeDocument/2006/relationships/oleObject" Target="../embeddings/oleObject10.bin"/><Relationship Id="rId27" Type="http://schemas.openxmlformats.org/officeDocument/2006/relationships/image" Target="../media/image12.wmf"/><Relationship Id="rId30" Type="http://schemas.openxmlformats.org/officeDocument/2006/relationships/oleObject" Target="../embeddings/oleObject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24"/>
  <sheetViews>
    <sheetView workbookViewId="0">
      <selection activeCell="F13" sqref="F13"/>
    </sheetView>
  </sheetViews>
  <sheetFormatPr defaultRowHeight="13.5"/>
  <cols>
    <col min="2" max="2" width="30.375" customWidth="1"/>
  </cols>
  <sheetData>
    <row r="1" spans="1:2" ht="20.25">
      <c r="A1" s="150" t="s">
        <v>306</v>
      </c>
      <c r="B1" s="174" t="s">
        <v>257</v>
      </c>
    </row>
    <row r="2" spans="1:2">
      <c r="A2" s="3">
        <v>1</v>
      </c>
      <c r="B2" s="151" t="s">
        <v>257</v>
      </c>
    </row>
    <row r="3" spans="1:2">
      <c r="A3" s="3">
        <v>2</v>
      </c>
      <c r="B3" s="152" t="s">
        <v>309</v>
      </c>
    </row>
    <row r="4" spans="1:2">
      <c r="A4" s="3">
        <v>3</v>
      </c>
      <c r="B4" s="152" t="s">
        <v>258</v>
      </c>
    </row>
    <row r="5" spans="1:2">
      <c r="A5" s="3">
        <v>4</v>
      </c>
      <c r="B5" s="152" t="s">
        <v>317</v>
      </c>
    </row>
    <row r="6" spans="1:2">
      <c r="A6" s="3">
        <v>5</v>
      </c>
      <c r="B6" s="152" t="s">
        <v>294</v>
      </c>
    </row>
    <row r="7" spans="1:2">
      <c r="A7" s="3">
        <v>6</v>
      </c>
      <c r="B7" s="152" t="s">
        <v>310</v>
      </c>
    </row>
    <row r="8" spans="1:2">
      <c r="A8" s="3">
        <v>7</v>
      </c>
      <c r="B8" s="152" t="s">
        <v>311</v>
      </c>
    </row>
    <row r="9" spans="1:2">
      <c r="A9" s="3">
        <v>8</v>
      </c>
      <c r="B9" s="152" t="s">
        <v>312</v>
      </c>
    </row>
    <row r="10" spans="1:2">
      <c r="A10" s="3">
        <v>9</v>
      </c>
      <c r="B10" s="152" t="s">
        <v>313</v>
      </c>
    </row>
    <row r="11" spans="1:2">
      <c r="A11" s="3">
        <v>10</v>
      </c>
      <c r="B11" s="152" t="s">
        <v>314</v>
      </c>
    </row>
    <row r="12" spans="1:2">
      <c r="A12" s="3">
        <v>11</v>
      </c>
      <c r="B12" s="152" t="s">
        <v>315</v>
      </c>
    </row>
    <row r="13" spans="1:2">
      <c r="A13" s="3">
        <v>12</v>
      </c>
      <c r="B13" s="152" t="s">
        <v>316</v>
      </c>
    </row>
    <row r="14" spans="1:2">
      <c r="A14" s="3"/>
      <c r="B14" s="152"/>
    </row>
    <row r="15" spans="1:2">
      <c r="A15" s="3"/>
      <c r="B15" s="152"/>
    </row>
    <row r="16" spans="1:2">
      <c r="A16" s="3"/>
      <c r="B16" s="152"/>
    </row>
    <row r="17" spans="1:2">
      <c r="A17" s="3"/>
      <c r="B17" s="152"/>
    </row>
    <row r="18" spans="1:2">
      <c r="A18" s="123"/>
      <c r="B18" s="1"/>
    </row>
    <row r="19" spans="1:2">
      <c r="A19" s="123"/>
      <c r="B19" s="1"/>
    </row>
    <row r="20" spans="1:2">
      <c r="A20" s="153"/>
      <c r="B20" s="1"/>
    </row>
    <row r="21" spans="1:2">
      <c r="A21" s="153"/>
      <c r="B21" s="1"/>
    </row>
    <row r="22" spans="1:2">
      <c r="A22" s="153"/>
      <c r="B22" s="1"/>
    </row>
    <row r="23" spans="1:2">
      <c r="A23" s="153"/>
      <c r="B23" s="1"/>
    </row>
    <row r="24" spans="1:2">
      <c r="A24" s="153"/>
      <c r="B24" s="1"/>
    </row>
  </sheetData>
  <phoneticPr fontId="2" type="noConversion"/>
  <hyperlinks>
    <hyperlink ref="B1" r:id="rId1" location="目录索引!A1"/>
    <hyperlink ref="B2" r:id="rId2" location="目录索引!A1"/>
    <hyperlink ref="B3" r:id="rId3" location="SRSandGAP原始数据!A1"/>
    <hyperlink ref="B4" r:id="rId4" location="各资源时域分配原始数据!A1"/>
    <hyperlink ref="B5" r:id="rId5" location="小区级时域资源拓扑!A1"/>
    <hyperlink ref="B6" r:id="rId6" location="UE级别时域资源拓扑!A1"/>
    <hyperlink ref="B7" r:id="rId7" location="PRACHandPUCCH频域位置填写!A1"/>
    <hyperlink ref="B8" r:id="rId8" location="PRACHandPUCCH频域位置图示!A1"/>
    <hyperlink ref="B9" r:id="rId9" location="PUCCHSR信道分配原始数据!A1"/>
    <hyperlink ref="B10" r:id="rId10" location="PUCCHSet0PRB级资源分配!A1"/>
    <hyperlink ref="B11" r:id="rId11" location="附录SRS多端口资源计算!A1"/>
    <hyperlink ref="B12" r:id="rId12" location="SrsBandwidthConfiguration!A1"/>
    <hyperlink ref="B13" r:id="rId13" location="pucch测试日志!A1"/>
  </hyperlinks>
  <pageMargins left="0.7" right="0.7" top="0.75" bottom="0.75" header="0.3" footer="0.3"/>
  <pageSetup paperSize="9" orientation="portrait" horizontalDpi="300" verticalDpi="300" r:id="rId14"/>
  <drawing r:id="rId15"/>
  <legacyDrawing r:id="rId1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17" name="Button 1">
              <controlPr defaultSize="0" print="0" autoFill="0" autoPict="0" macro="[0]!超级链接">
                <anchor moveWithCells="1" sizeWithCells="1">
                  <from>
                    <xdr:col>2</xdr:col>
                    <xdr:colOff>657225</xdr:colOff>
                    <xdr:row>2</xdr:row>
                    <xdr:rowOff>0</xdr:rowOff>
                  </from>
                  <to>
                    <xdr:col>4</xdr:col>
                    <xdr:colOff>676275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0.39997558519241921"/>
  </sheetPr>
  <dimension ref="A1:AD30"/>
  <sheetViews>
    <sheetView workbookViewId="0">
      <pane ySplit="1" topLeftCell="A2" activePane="bottomLeft" state="frozen"/>
      <selection pane="bottomLeft" activeCell="S3" sqref="A3:S3"/>
    </sheetView>
  </sheetViews>
  <sheetFormatPr defaultRowHeight="13.5"/>
  <cols>
    <col min="1" max="1" width="10.5" style="184" bestFit="1" customWidth="1"/>
    <col min="2" max="2" width="13.5" style="184" customWidth="1"/>
    <col min="3" max="3" width="6.875" style="184" customWidth="1"/>
    <col min="4" max="4" width="13.875" style="184" customWidth="1"/>
    <col min="5" max="5" width="8.75" style="184" customWidth="1"/>
    <col min="6" max="6" width="10.5" style="184" customWidth="1"/>
    <col min="7" max="7" width="7.125" style="184" customWidth="1"/>
    <col min="8" max="8" width="10.75" style="184" customWidth="1"/>
    <col min="9" max="9" width="17.75" style="184" customWidth="1"/>
    <col min="10" max="10" width="16.125" style="184" bestFit="1" customWidth="1"/>
    <col min="11" max="11" width="15" style="184" bestFit="1" customWidth="1"/>
    <col min="12" max="12" width="16.5" style="184" customWidth="1"/>
    <col min="13" max="13" width="15" style="184" bestFit="1" customWidth="1"/>
    <col min="14" max="14" width="16.125" style="184" bestFit="1" customWidth="1"/>
    <col min="15" max="15" width="13.375" style="184" bestFit="1" customWidth="1"/>
    <col min="16" max="16" width="15" style="184" bestFit="1" customWidth="1"/>
    <col min="17" max="17" width="9.875" style="184" customWidth="1"/>
    <col min="18" max="18" width="8.25" style="184" customWidth="1"/>
    <col min="19" max="19" width="20.5" style="184" bestFit="1" customWidth="1"/>
    <col min="20" max="20" width="17.25" style="184" bestFit="1" customWidth="1"/>
    <col min="21" max="21" width="6.5" style="184" bestFit="1" customWidth="1"/>
    <col min="22" max="23" width="4.125" style="184" customWidth="1"/>
    <col min="24" max="24" width="25" style="184" bestFit="1" customWidth="1"/>
    <col min="25" max="25" width="9" style="184"/>
    <col min="26" max="26" width="17.875" style="184" customWidth="1"/>
    <col min="27" max="27" width="16.375" style="184" customWidth="1"/>
    <col min="28" max="29" width="9.25" style="184" customWidth="1"/>
    <col min="30" max="16384" width="9" style="184"/>
  </cols>
  <sheetData>
    <row r="1" spans="1:30" s="182" customFormat="1" ht="53.25" customHeight="1">
      <c r="A1" s="177" t="s">
        <v>57</v>
      </c>
      <c r="B1" s="177" t="s">
        <v>69</v>
      </c>
      <c r="C1" s="177" t="s">
        <v>281</v>
      </c>
      <c r="D1" s="177" t="s">
        <v>81</v>
      </c>
      <c r="E1" s="177" t="s">
        <v>82</v>
      </c>
      <c r="F1" s="177" t="s">
        <v>86</v>
      </c>
      <c r="G1" s="177" t="s">
        <v>83</v>
      </c>
      <c r="H1" s="177" t="s">
        <v>47</v>
      </c>
      <c r="I1" s="177" t="s">
        <v>67</v>
      </c>
      <c r="J1" s="177" t="s">
        <v>48</v>
      </c>
      <c r="K1" s="177" t="s">
        <v>89</v>
      </c>
      <c r="L1" s="177" t="s">
        <v>49</v>
      </c>
      <c r="M1" s="178" t="s">
        <v>74</v>
      </c>
      <c r="N1" s="178" t="s">
        <v>56</v>
      </c>
      <c r="O1" s="178" t="s">
        <v>80</v>
      </c>
      <c r="P1" s="177" t="s">
        <v>66</v>
      </c>
      <c r="Q1" s="177" t="s">
        <v>88</v>
      </c>
      <c r="R1" s="177" t="s">
        <v>50</v>
      </c>
      <c r="S1" s="177" t="s">
        <v>51</v>
      </c>
      <c r="T1" s="177" t="s">
        <v>52</v>
      </c>
      <c r="U1" s="177" t="s">
        <v>53</v>
      </c>
      <c r="V1" s="177" t="s">
        <v>54</v>
      </c>
      <c r="W1" s="177" t="s">
        <v>55</v>
      </c>
      <c r="X1" s="177" t="s">
        <v>318</v>
      </c>
      <c r="Y1" s="179" t="s">
        <v>78</v>
      </c>
      <c r="Z1" s="180" t="s">
        <v>320</v>
      </c>
      <c r="AA1" s="180" t="s">
        <v>321</v>
      </c>
      <c r="AB1" s="180" t="s">
        <v>90</v>
      </c>
      <c r="AC1" s="181" t="s">
        <v>319</v>
      </c>
      <c r="AD1" s="180" t="s">
        <v>308</v>
      </c>
    </row>
    <row r="2" spans="1:30">
      <c r="A2" s="3">
        <v>0</v>
      </c>
      <c r="B2" s="3" t="s">
        <v>68</v>
      </c>
      <c r="C2" s="3">
        <v>1</v>
      </c>
      <c r="D2" s="3">
        <v>18</v>
      </c>
      <c r="E2" s="3">
        <v>6</v>
      </c>
      <c r="F2" s="3">
        <v>80</v>
      </c>
      <c r="G2" s="3">
        <v>0.5</v>
      </c>
      <c r="H2" s="3" t="s">
        <v>272</v>
      </c>
      <c r="I2" s="3" t="s">
        <v>288</v>
      </c>
      <c r="J2" s="3">
        <v>0</v>
      </c>
      <c r="K2" s="3" t="s">
        <v>72</v>
      </c>
      <c r="L2" s="3" t="s">
        <v>73</v>
      </c>
      <c r="M2" s="3">
        <v>0</v>
      </c>
      <c r="N2" s="3">
        <v>0</v>
      </c>
      <c r="O2" s="3" t="s">
        <v>75</v>
      </c>
      <c r="P2" s="3">
        <v>1</v>
      </c>
      <c r="Q2" s="3" t="s">
        <v>76</v>
      </c>
      <c r="R2" s="3" t="s">
        <v>76</v>
      </c>
      <c r="S2" s="3">
        <v>0</v>
      </c>
      <c r="T2" s="3">
        <v>0</v>
      </c>
      <c r="U2" s="3">
        <v>57</v>
      </c>
      <c r="V2" s="3">
        <v>0</v>
      </c>
      <c r="W2" s="3">
        <v>0</v>
      </c>
      <c r="X2" s="3" t="s">
        <v>77</v>
      </c>
      <c r="Y2" s="3">
        <v>47</v>
      </c>
      <c r="Z2" s="3"/>
      <c r="AA2" s="3"/>
      <c r="AB2" s="3"/>
      <c r="AC2" s="176"/>
      <c r="AD2" s="183"/>
    </row>
    <row r="3" spans="1:30">
      <c r="A3" s="3">
        <v>0</v>
      </c>
      <c r="B3" s="3" t="s">
        <v>68</v>
      </c>
      <c r="C3" s="3">
        <v>1</v>
      </c>
      <c r="D3" s="3"/>
      <c r="E3" s="3"/>
      <c r="F3" s="3"/>
      <c r="G3" s="3"/>
      <c r="H3" s="3">
        <v>1</v>
      </c>
      <c r="I3" s="3" t="s">
        <v>71</v>
      </c>
      <c r="J3" s="3">
        <v>1</v>
      </c>
      <c r="K3" s="3" t="s">
        <v>72</v>
      </c>
      <c r="L3" s="3" t="s">
        <v>73</v>
      </c>
      <c r="M3" s="3">
        <v>0</v>
      </c>
      <c r="N3" s="3">
        <v>0</v>
      </c>
      <c r="O3" s="3" t="s">
        <v>75</v>
      </c>
      <c r="P3" s="3">
        <v>1</v>
      </c>
      <c r="Q3" s="3" t="s">
        <v>76</v>
      </c>
      <c r="R3" s="3" t="s">
        <v>76</v>
      </c>
      <c r="S3" s="3">
        <v>0</v>
      </c>
      <c r="T3" s="3">
        <v>0</v>
      </c>
      <c r="U3" s="3">
        <v>57</v>
      </c>
      <c r="V3" s="3">
        <v>0</v>
      </c>
      <c r="W3" s="3">
        <v>0</v>
      </c>
      <c r="X3" s="3" t="s">
        <v>77</v>
      </c>
      <c r="Y3" s="3">
        <v>57</v>
      </c>
      <c r="Z3" s="3"/>
      <c r="AA3" s="3"/>
      <c r="AB3" s="3"/>
      <c r="AC3" s="176"/>
      <c r="AD3" s="183"/>
    </row>
    <row r="4" spans="1:30">
      <c r="A4" s="3">
        <v>0</v>
      </c>
      <c r="B4" s="3" t="s">
        <v>68</v>
      </c>
      <c r="C4" s="3">
        <v>1</v>
      </c>
      <c r="D4" s="3"/>
      <c r="E4" s="3"/>
      <c r="F4" s="3"/>
      <c r="G4" s="3"/>
      <c r="H4" s="3">
        <v>1</v>
      </c>
      <c r="I4" s="3" t="s">
        <v>71</v>
      </c>
      <c r="J4" s="3">
        <v>2</v>
      </c>
      <c r="K4" s="3" t="s">
        <v>72</v>
      </c>
      <c r="L4" s="3" t="s">
        <v>73</v>
      </c>
      <c r="M4" s="3">
        <v>0</v>
      </c>
      <c r="N4" s="3">
        <v>0</v>
      </c>
      <c r="O4" s="3" t="s">
        <v>75</v>
      </c>
      <c r="P4" s="3">
        <v>1</v>
      </c>
      <c r="Q4" s="3" t="s">
        <v>76</v>
      </c>
      <c r="R4" s="3" t="s">
        <v>76</v>
      </c>
      <c r="S4" s="3">
        <v>0</v>
      </c>
      <c r="T4" s="3">
        <v>0</v>
      </c>
      <c r="U4" s="3">
        <v>57</v>
      </c>
      <c r="V4" s="3">
        <v>0</v>
      </c>
      <c r="W4" s="3">
        <v>0</v>
      </c>
      <c r="X4" s="3" t="s">
        <v>77</v>
      </c>
      <c r="Y4" s="3">
        <v>67</v>
      </c>
      <c r="Z4" s="3"/>
      <c r="AA4" s="3"/>
      <c r="AB4" s="3"/>
      <c r="AC4" s="176"/>
      <c r="AD4" s="183"/>
    </row>
    <row r="5" spans="1:30">
      <c r="A5" s="3">
        <v>0</v>
      </c>
      <c r="B5" s="3" t="s">
        <v>68</v>
      </c>
      <c r="C5" s="3">
        <v>1</v>
      </c>
      <c r="D5" s="3"/>
      <c r="E5" s="3"/>
      <c r="F5" s="3"/>
      <c r="G5" s="3"/>
      <c r="H5" s="3">
        <v>1</v>
      </c>
      <c r="I5" s="3" t="s">
        <v>71</v>
      </c>
      <c r="J5" s="3">
        <v>3</v>
      </c>
      <c r="K5" s="3" t="s">
        <v>72</v>
      </c>
      <c r="L5" s="3" t="s">
        <v>73</v>
      </c>
      <c r="M5" s="3">
        <v>0</v>
      </c>
      <c r="N5" s="3">
        <v>0</v>
      </c>
      <c r="O5" s="3" t="s">
        <v>75</v>
      </c>
      <c r="P5" s="3">
        <v>1</v>
      </c>
      <c r="Q5" s="3" t="s">
        <v>76</v>
      </c>
      <c r="R5" s="3" t="s">
        <v>76</v>
      </c>
      <c r="S5" s="3">
        <v>0</v>
      </c>
      <c r="T5" s="3">
        <v>0</v>
      </c>
      <c r="U5" s="3">
        <v>57</v>
      </c>
      <c r="V5" s="3">
        <v>0</v>
      </c>
      <c r="W5" s="3">
        <v>0</v>
      </c>
      <c r="X5" s="3" t="s">
        <v>77</v>
      </c>
      <c r="Y5" s="3">
        <v>77</v>
      </c>
      <c r="Z5" s="3"/>
      <c r="AA5" s="3"/>
      <c r="AB5" s="3"/>
      <c r="AC5" s="176"/>
      <c r="AD5" s="183"/>
    </row>
    <row r="6" spans="1:30">
      <c r="A6" s="3">
        <v>0</v>
      </c>
      <c r="B6" s="3" t="s">
        <v>271</v>
      </c>
      <c r="C6" s="3">
        <v>2</v>
      </c>
      <c r="D6" s="3"/>
      <c r="E6" s="3"/>
      <c r="F6" s="3"/>
      <c r="G6" s="3"/>
      <c r="H6" s="3">
        <v>1</v>
      </c>
      <c r="I6" s="3" t="s">
        <v>70</v>
      </c>
      <c r="J6" s="3">
        <v>0</v>
      </c>
      <c r="K6" s="3" t="s">
        <v>72</v>
      </c>
      <c r="L6" s="3" t="s">
        <v>73</v>
      </c>
      <c r="M6" s="3">
        <v>0</v>
      </c>
      <c r="N6" s="3">
        <v>0</v>
      </c>
      <c r="O6" s="3" t="s">
        <v>75</v>
      </c>
      <c r="P6" s="3">
        <v>1</v>
      </c>
      <c r="Q6" s="3" t="s">
        <v>76</v>
      </c>
      <c r="R6" s="3" t="s">
        <v>76</v>
      </c>
      <c r="S6" s="3">
        <v>0</v>
      </c>
      <c r="T6" s="3">
        <v>0</v>
      </c>
      <c r="U6" s="3">
        <v>57</v>
      </c>
      <c r="V6" s="3">
        <v>0</v>
      </c>
      <c r="W6" s="3">
        <v>0</v>
      </c>
      <c r="X6" s="3" t="s">
        <v>77</v>
      </c>
      <c r="Y6" s="3">
        <v>87</v>
      </c>
      <c r="Z6" s="3"/>
      <c r="AA6" s="3"/>
      <c r="AB6" s="3"/>
      <c r="AC6" s="176"/>
      <c r="AD6" s="183"/>
    </row>
    <row r="7" spans="1:30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176"/>
      <c r="AD7" s="183"/>
    </row>
    <row r="8" spans="1:30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176"/>
      <c r="AD8" s="183"/>
    </row>
    <row r="9" spans="1:30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176"/>
      <c r="AD9" s="183"/>
    </row>
    <row r="10" spans="1:30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176"/>
      <c r="AD10" s="183"/>
    </row>
    <row r="11" spans="1:30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176"/>
      <c r="AD11" s="183"/>
    </row>
    <row r="12" spans="1:30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176"/>
      <c r="AD12" s="183"/>
    </row>
    <row r="13" spans="1:30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176"/>
      <c r="AD13" s="183"/>
    </row>
    <row r="14" spans="1:30" ht="12" customHeight="1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176"/>
      <c r="AD14" s="183"/>
    </row>
    <row r="15" spans="1:30" ht="13.5" customHeight="1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176"/>
      <c r="AD15" s="183"/>
    </row>
    <row r="16" spans="1:30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176"/>
      <c r="AD16" s="183"/>
    </row>
    <row r="17" spans="1:30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176"/>
      <c r="AD17" s="183"/>
    </row>
    <row r="18" spans="1:30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176"/>
      <c r="AD18" s="183"/>
    </row>
    <row r="19" spans="1:30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176"/>
      <c r="AD19" s="183"/>
    </row>
    <row r="20" spans="1:30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176"/>
      <c r="AD20" s="183"/>
    </row>
    <row r="21" spans="1:30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176"/>
      <c r="AD21" s="183"/>
    </row>
    <row r="22" spans="1:30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176"/>
      <c r="AD22" s="183"/>
    </row>
    <row r="23" spans="1:30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176"/>
      <c r="AD23" s="183"/>
    </row>
    <row r="24" spans="1:30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176"/>
      <c r="AD24" s="183"/>
    </row>
    <row r="25" spans="1:30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176"/>
      <c r="AD25" s="183"/>
    </row>
    <row r="26" spans="1:30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176"/>
      <c r="AD26" s="183"/>
    </row>
    <row r="27" spans="1:30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176"/>
      <c r="AD27" s="183"/>
    </row>
    <row r="28" spans="1:30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176"/>
      <c r="AD28" s="183"/>
    </row>
    <row r="29" spans="1:30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176"/>
      <c r="AD29" s="176"/>
    </row>
    <row r="30" spans="1:30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176"/>
      <c r="AD30" s="176"/>
    </row>
  </sheetData>
  <phoneticPr fontId="2" type="noConversion"/>
  <dataValidations count="2">
    <dataValidation type="list" allowBlank="1" showInputMessage="1" showErrorMessage="1" sqref="M1">
      <formula1>"combOffset-n2,combOffset-n4"</formula1>
    </dataValidation>
    <dataValidation type="list" allowBlank="1" showInputMessage="1" showErrorMessage="1" sqref="N1">
      <formula1>"cyclicShift-n2,cyclicShift-n4"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5" tint="-0.249977111117893"/>
  </sheetPr>
  <dimension ref="A2:AX801"/>
  <sheetViews>
    <sheetView topLeftCell="E1" zoomScale="85" zoomScaleNormal="85" workbookViewId="0">
      <pane ySplit="3" topLeftCell="A4" activePane="bottomLeft" state="frozen"/>
      <selection pane="bottomLeft" activeCell="M21" sqref="M21"/>
    </sheetView>
  </sheetViews>
  <sheetFormatPr defaultRowHeight="13.5"/>
  <cols>
    <col min="1" max="1" width="10.5" bestFit="1" customWidth="1"/>
    <col min="2" max="2" width="13.875" bestFit="1" customWidth="1"/>
    <col min="4" max="4" width="13.875" bestFit="1" customWidth="1"/>
    <col min="5" max="5" width="8.5" bestFit="1" customWidth="1"/>
    <col min="6" max="6" width="9.5" bestFit="1" customWidth="1"/>
    <col min="7" max="7" width="5.5" bestFit="1" customWidth="1"/>
    <col min="8" max="8" width="19.375" bestFit="1" customWidth="1"/>
    <col min="9" max="9" width="18.375" bestFit="1" customWidth="1"/>
    <col min="10" max="10" width="20.5" bestFit="1" customWidth="1"/>
    <col min="11" max="11" width="13.875" bestFit="1" customWidth="1"/>
    <col min="12" max="12" width="10.5" bestFit="1" customWidth="1"/>
    <col min="13" max="13" width="17.25" bestFit="1" customWidth="1"/>
    <col min="14" max="14" width="10.5" bestFit="1" customWidth="1"/>
    <col min="15" max="15" width="17.25" bestFit="1" customWidth="1"/>
    <col min="16" max="16" width="10.5" bestFit="1" customWidth="1"/>
    <col min="17" max="17" width="17.25" bestFit="1" customWidth="1"/>
    <col min="18" max="18" width="10.5" bestFit="1" customWidth="1"/>
    <col min="19" max="19" width="17.25" bestFit="1" customWidth="1"/>
    <col min="20" max="20" width="10.5" bestFit="1" customWidth="1"/>
    <col min="21" max="21" width="12.75" bestFit="1" customWidth="1"/>
    <col min="22" max="22" width="10.5" bestFit="1" customWidth="1"/>
    <col min="23" max="23" width="12.75" bestFit="1" customWidth="1"/>
    <col min="24" max="24" width="10.5" bestFit="1" customWidth="1"/>
    <col min="25" max="25" width="12.75" bestFit="1" customWidth="1"/>
    <col min="26" max="26" width="10.5" bestFit="1" customWidth="1"/>
    <col min="27" max="27" width="12.75" bestFit="1" customWidth="1"/>
    <col min="28" max="28" width="5.5" bestFit="1" customWidth="1"/>
    <col min="29" max="29" width="8.5" bestFit="1" customWidth="1"/>
    <col min="30" max="30" width="6.5" bestFit="1" customWidth="1"/>
    <col min="31" max="31" width="9.5" bestFit="1" customWidth="1"/>
    <col min="32" max="32" width="6.5" bestFit="1" customWidth="1"/>
    <col min="33" max="33" width="9.5" bestFit="1" customWidth="1"/>
    <col min="34" max="34" width="6.5" bestFit="1" customWidth="1"/>
    <col min="35" max="35" width="9.5" bestFit="1" customWidth="1"/>
    <col min="37" max="37" width="17.375" customWidth="1"/>
  </cols>
  <sheetData>
    <row r="2" spans="1:50" ht="26.25" customHeight="1">
      <c r="A2" s="197" t="s">
        <v>292</v>
      </c>
      <c r="B2" s="197"/>
      <c r="C2" s="197"/>
      <c r="D2" s="199" t="s">
        <v>107</v>
      </c>
      <c r="E2" s="199"/>
      <c r="F2" s="199"/>
      <c r="G2" s="199"/>
      <c r="H2" s="198" t="s">
        <v>111</v>
      </c>
      <c r="I2" s="198"/>
      <c r="J2" s="198"/>
      <c r="K2" s="198"/>
      <c r="L2" s="197" t="s">
        <v>273</v>
      </c>
      <c r="M2" s="197"/>
      <c r="N2" s="197"/>
      <c r="O2" s="197"/>
      <c r="P2" s="197"/>
      <c r="Q2" s="197"/>
      <c r="R2" s="197"/>
      <c r="S2" s="197"/>
      <c r="T2" s="197" t="s">
        <v>108</v>
      </c>
      <c r="U2" s="197"/>
      <c r="V2" s="197"/>
      <c r="W2" s="197"/>
      <c r="X2" s="197"/>
      <c r="Y2" s="197"/>
      <c r="Z2" s="197"/>
      <c r="AA2" s="197"/>
      <c r="AB2" s="199" t="s">
        <v>109</v>
      </c>
      <c r="AC2" s="199"/>
      <c r="AD2" s="197" t="s">
        <v>110</v>
      </c>
      <c r="AE2" s="197"/>
      <c r="AF2" s="197"/>
      <c r="AG2" s="197"/>
      <c r="AH2" s="197"/>
      <c r="AI2" s="197"/>
      <c r="AJ2" s="175"/>
      <c r="AK2" s="162" t="s">
        <v>293</v>
      </c>
    </row>
    <row r="3" spans="1:50" s="85" customFormat="1" ht="40.5">
      <c r="A3" s="82" t="s">
        <v>57</v>
      </c>
      <c r="B3" s="82" t="s">
        <v>69</v>
      </c>
      <c r="C3" s="87" t="s">
        <v>280</v>
      </c>
      <c r="D3" s="86" t="s">
        <v>151</v>
      </c>
      <c r="E3" s="86" t="s">
        <v>150</v>
      </c>
      <c r="F3" s="86" t="s">
        <v>290</v>
      </c>
      <c r="G3" s="86" t="s">
        <v>83</v>
      </c>
      <c r="H3" s="83" t="s">
        <v>119</v>
      </c>
      <c r="I3" s="83" t="s">
        <v>120</v>
      </c>
      <c r="J3" s="83" t="s">
        <v>121</v>
      </c>
      <c r="K3" s="83" t="s">
        <v>122</v>
      </c>
      <c r="L3" s="83" t="s">
        <v>113</v>
      </c>
      <c r="M3" s="83" t="s">
        <v>152</v>
      </c>
      <c r="N3" s="83" t="s">
        <v>114</v>
      </c>
      <c r="O3" s="83" t="s">
        <v>289</v>
      </c>
      <c r="P3" s="83" t="s">
        <v>96</v>
      </c>
      <c r="Q3" s="83" t="s">
        <v>98</v>
      </c>
      <c r="R3" s="83" t="s">
        <v>97</v>
      </c>
      <c r="S3" s="83" t="s">
        <v>115</v>
      </c>
      <c r="T3" s="83" t="s">
        <v>116</v>
      </c>
      <c r="U3" s="83" t="s">
        <v>99</v>
      </c>
      <c r="V3" s="83" t="s">
        <v>91</v>
      </c>
      <c r="W3" s="83" t="s">
        <v>100</v>
      </c>
      <c r="X3" s="83" t="s">
        <v>92</v>
      </c>
      <c r="Y3" s="83" t="s">
        <v>101</v>
      </c>
      <c r="Z3" s="83" t="s">
        <v>93</v>
      </c>
      <c r="AA3" s="83" t="s">
        <v>102</v>
      </c>
      <c r="AB3" s="84" t="s">
        <v>117</v>
      </c>
      <c r="AC3" s="84" t="s">
        <v>103</v>
      </c>
      <c r="AD3" s="83" t="s">
        <v>118</v>
      </c>
      <c r="AE3" s="83" t="s">
        <v>104</v>
      </c>
      <c r="AF3" s="83" t="s">
        <v>94</v>
      </c>
      <c r="AG3" s="83" t="s">
        <v>105</v>
      </c>
      <c r="AH3" s="83" t="s">
        <v>95</v>
      </c>
      <c r="AI3" s="88" t="s">
        <v>106</v>
      </c>
      <c r="AJ3" s="87" t="s">
        <v>308</v>
      </c>
      <c r="AK3" s="164" t="s">
        <v>291</v>
      </c>
      <c r="AL3"/>
      <c r="AM3"/>
      <c r="AN3"/>
      <c r="AO3"/>
      <c r="AP3"/>
      <c r="AQ3"/>
      <c r="AR3"/>
      <c r="AS3"/>
      <c r="AT3"/>
      <c r="AU3"/>
      <c r="AV3"/>
      <c r="AW3"/>
      <c r="AX3"/>
    </row>
    <row r="4" spans="1:50">
      <c r="A4" s="3">
        <v>0</v>
      </c>
      <c r="B4" s="1" t="s">
        <v>68</v>
      </c>
      <c r="C4" s="3">
        <v>1</v>
      </c>
      <c r="D4" s="3">
        <v>18</v>
      </c>
      <c r="E4" s="3">
        <v>6</v>
      </c>
      <c r="F4" s="3">
        <v>80</v>
      </c>
      <c r="G4" s="3">
        <v>0.5</v>
      </c>
      <c r="H4" s="1"/>
      <c r="I4" s="1"/>
      <c r="J4" s="1"/>
      <c r="K4" s="1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1"/>
      <c r="AE4" s="1"/>
      <c r="AF4" s="1"/>
      <c r="AG4" s="1"/>
      <c r="AH4" s="1"/>
      <c r="AI4" s="89"/>
      <c r="AJ4" s="161"/>
      <c r="AK4" s="161"/>
    </row>
    <row r="5" spans="1:50">
      <c r="A5" s="3">
        <v>0</v>
      </c>
      <c r="B5" s="1" t="s">
        <v>68</v>
      </c>
      <c r="C5" s="3">
        <v>2</v>
      </c>
      <c r="D5" s="3"/>
      <c r="E5" s="3"/>
      <c r="F5" s="3"/>
      <c r="G5" s="3"/>
      <c r="H5" s="1"/>
      <c r="I5" s="1"/>
      <c r="J5" s="1"/>
      <c r="K5" s="1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1"/>
      <c r="AE5" s="1"/>
      <c r="AF5" s="1"/>
      <c r="AG5" s="1"/>
      <c r="AH5" s="1"/>
      <c r="AI5" s="89"/>
      <c r="AJ5" s="161"/>
      <c r="AK5" s="161"/>
    </row>
    <row r="6" spans="1:50">
      <c r="A6" s="3"/>
      <c r="B6" s="1"/>
      <c r="C6" s="1"/>
      <c r="D6" s="3"/>
      <c r="E6" s="3"/>
      <c r="F6" s="3"/>
      <c r="G6" s="3"/>
      <c r="H6" s="1"/>
      <c r="I6" s="1"/>
      <c r="J6" s="1"/>
      <c r="K6" s="1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1"/>
      <c r="AE6" s="1"/>
      <c r="AF6" s="1"/>
      <c r="AG6" s="1"/>
      <c r="AH6" s="1"/>
      <c r="AI6" s="89"/>
      <c r="AJ6" s="161"/>
      <c r="AK6" s="161"/>
    </row>
    <row r="7" spans="1:50">
      <c r="A7" s="3"/>
      <c r="B7" s="1"/>
      <c r="C7" s="1"/>
      <c r="D7" s="3"/>
      <c r="E7" s="3"/>
      <c r="F7" s="3"/>
      <c r="G7" s="3"/>
      <c r="H7" s="1"/>
      <c r="I7" s="1"/>
      <c r="J7" s="1"/>
      <c r="K7" s="1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1"/>
      <c r="AE7" s="1"/>
      <c r="AF7" s="1"/>
      <c r="AG7" s="1"/>
      <c r="AH7" s="1"/>
      <c r="AI7" s="89"/>
      <c r="AJ7" s="161"/>
      <c r="AK7" s="161"/>
    </row>
    <row r="8" spans="1:50">
      <c r="A8" s="1"/>
      <c r="B8" s="1"/>
      <c r="C8" s="1"/>
      <c r="D8" s="3"/>
      <c r="E8" s="3"/>
      <c r="F8" s="3"/>
      <c r="G8" s="3"/>
      <c r="H8" s="1"/>
      <c r="I8" s="1"/>
      <c r="J8" s="1"/>
      <c r="K8" s="1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1"/>
      <c r="AE8" s="1"/>
      <c r="AF8" s="1"/>
      <c r="AG8" s="1"/>
      <c r="AH8" s="1"/>
      <c r="AI8" s="89"/>
      <c r="AJ8" s="161"/>
      <c r="AK8" s="161"/>
    </row>
    <row r="9" spans="1:50">
      <c r="A9" s="1"/>
      <c r="B9" s="1"/>
      <c r="C9" s="1"/>
      <c r="D9" s="3"/>
      <c r="E9" s="3"/>
      <c r="F9" s="3"/>
      <c r="G9" s="3"/>
      <c r="H9" s="1"/>
      <c r="I9" s="1"/>
      <c r="J9" s="1"/>
      <c r="K9" s="1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1"/>
      <c r="AE9" s="1"/>
      <c r="AF9" s="1"/>
      <c r="AG9" s="1"/>
      <c r="AH9" s="1"/>
      <c r="AI9" s="89"/>
      <c r="AJ9" s="161"/>
      <c r="AK9" s="161"/>
    </row>
    <row r="10" spans="1:50">
      <c r="A10" s="1"/>
      <c r="B10" s="1"/>
      <c r="C10" s="1"/>
      <c r="D10" s="3"/>
      <c r="E10" s="3"/>
      <c r="F10" s="3"/>
      <c r="G10" s="3"/>
      <c r="H10" s="1"/>
      <c r="I10" s="1"/>
      <c r="J10" s="1"/>
      <c r="K10" s="1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1"/>
      <c r="AE10" s="1"/>
      <c r="AF10" s="1"/>
      <c r="AG10" s="1"/>
      <c r="AH10" s="1"/>
      <c r="AI10" s="89"/>
      <c r="AJ10" s="161"/>
      <c r="AK10" s="161"/>
    </row>
    <row r="11" spans="1:50">
      <c r="A11" s="1"/>
      <c r="B11" s="1"/>
      <c r="C11" s="1"/>
      <c r="D11" s="3"/>
      <c r="E11" s="3"/>
      <c r="F11" s="3"/>
      <c r="G11" s="3"/>
      <c r="H11" s="1"/>
      <c r="I11" s="1"/>
      <c r="J11" s="1"/>
      <c r="K11" s="1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1"/>
      <c r="AE11" s="1"/>
      <c r="AF11" s="1"/>
      <c r="AG11" s="1"/>
      <c r="AH11" s="1"/>
      <c r="AI11" s="89"/>
      <c r="AJ11" s="161"/>
      <c r="AK11" s="161"/>
    </row>
    <row r="12" spans="1:50">
      <c r="A12" s="1"/>
      <c r="B12" s="1"/>
      <c r="C12" s="1"/>
      <c r="D12" s="3"/>
      <c r="E12" s="3"/>
      <c r="F12" s="3"/>
      <c r="G12" s="3"/>
      <c r="H12" s="1"/>
      <c r="I12" s="1"/>
      <c r="J12" s="1"/>
      <c r="K12" s="1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1"/>
      <c r="AE12" s="1"/>
      <c r="AF12" s="1"/>
      <c r="AG12" s="1"/>
      <c r="AH12" s="1"/>
      <c r="AI12" s="89"/>
      <c r="AJ12" s="161"/>
      <c r="AK12" s="161"/>
    </row>
    <row r="13" spans="1:50">
      <c r="A13" s="1"/>
      <c r="B13" s="1"/>
      <c r="C13" s="1"/>
      <c r="D13" s="3"/>
      <c r="E13" s="3"/>
      <c r="F13" s="3"/>
      <c r="G13" s="3"/>
      <c r="H13" s="1"/>
      <c r="I13" s="1"/>
      <c r="J13" s="1"/>
      <c r="K13" s="1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1"/>
      <c r="AE13" s="1"/>
      <c r="AF13" s="1"/>
      <c r="AG13" s="1"/>
      <c r="AH13" s="1"/>
      <c r="AI13" s="89"/>
      <c r="AJ13" s="161"/>
      <c r="AK13" s="161"/>
    </row>
    <row r="14" spans="1:50">
      <c r="A14" s="1"/>
      <c r="B14" s="1"/>
      <c r="C14" s="1"/>
      <c r="D14" s="3"/>
      <c r="E14" s="3"/>
      <c r="F14" s="3"/>
      <c r="G14" s="3"/>
      <c r="H14" s="1"/>
      <c r="I14" s="1"/>
      <c r="J14" s="1"/>
      <c r="K14" s="1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1"/>
      <c r="AE14" s="1"/>
      <c r="AF14" s="1"/>
      <c r="AG14" s="1"/>
      <c r="AH14" s="1"/>
      <c r="AI14" s="89"/>
      <c r="AJ14" s="161"/>
      <c r="AK14" s="161"/>
    </row>
    <row r="15" spans="1:50">
      <c r="A15" s="1"/>
      <c r="B15" s="1"/>
      <c r="C15" s="1"/>
      <c r="D15" s="3"/>
      <c r="E15" s="3"/>
      <c r="F15" s="3"/>
      <c r="G15" s="3"/>
      <c r="H15" s="1"/>
      <c r="I15" s="1"/>
      <c r="J15" s="1"/>
      <c r="K15" s="1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1"/>
      <c r="AE15" s="1"/>
      <c r="AF15" s="1"/>
      <c r="AG15" s="1"/>
      <c r="AH15" s="1"/>
      <c r="AI15" s="89"/>
      <c r="AJ15" s="161"/>
      <c r="AK15" s="161"/>
    </row>
    <row r="16" spans="1:50">
      <c r="A16" s="1"/>
      <c r="B16" s="1"/>
      <c r="C16" s="1"/>
      <c r="D16" s="3"/>
      <c r="E16" s="3"/>
      <c r="F16" s="3"/>
      <c r="G16" s="3"/>
      <c r="H16" s="1"/>
      <c r="I16" s="1"/>
      <c r="J16" s="1"/>
      <c r="K16" s="1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1"/>
      <c r="AE16" s="1"/>
      <c r="AF16" s="1"/>
      <c r="AG16" s="1"/>
      <c r="AH16" s="1"/>
      <c r="AI16" s="89"/>
      <c r="AJ16" s="161"/>
      <c r="AK16" s="161"/>
    </row>
    <row r="17" spans="1:37">
      <c r="A17" s="1"/>
      <c r="B17" s="1"/>
      <c r="C17" s="1"/>
      <c r="D17" s="3"/>
      <c r="E17" s="3"/>
      <c r="F17" s="3"/>
      <c r="G17" s="3"/>
      <c r="H17" s="1"/>
      <c r="I17" s="1"/>
      <c r="J17" s="1"/>
      <c r="K17" s="1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1"/>
      <c r="AE17" s="1"/>
      <c r="AF17" s="1"/>
      <c r="AG17" s="1"/>
      <c r="AH17" s="1"/>
      <c r="AI17" s="89"/>
      <c r="AJ17" s="161"/>
      <c r="AK17" s="161"/>
    </row>
    <row r="18" spans="1:37">
      <c r="A18" s="1"/>
      <c r="B18" s="1"/>
      <c r="C18" s="1"/>
      <c r="D18" s="3"/>
      <c r="E18" s="3"/>
      <c r="F18" s="3"/>
      <c r="G18" s="3"/>
      <c r="H18" s="1"/>
      <c r="I18" s="1"/>
      <c r="J18" s="1"/>
      <c r="K18" s="1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1"/>
      <c r="AE18" s="1"/>
      <c r="AF18" s="1"/>
      <c r="AG18" s="1"/>
      <c r="AH18" s="1"/>
      <c r="AI18" s="89"/>
      <c r="AJ18" s="161"/>
      <c r="AK18" s="161"/>
    </row>
    <row r="19" spans="1:37">
      <c r="A19" s="1"/>
      <c r="B19" s="1"/>
      <c r="D19" s="3"/>
      <c r="E19" s="3"/>
      <c r="F19" s="3"/>
      <c r="G19" s="3"/>
      <c r="H19" s="1"/>
      <c r="I19" s="1"/>
      <c r="J19" s="1"/>
      <c r="K19" s="1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1"/>
      <c r="AE19" s="1"/>
      <c r="AF19" s="1"/>
      <c r="AG19" s="1"/>
      <c r="AH19" s="1"/>
      <c r="AI19" s="89"/>
      <c r="AJ19" s="161"/>
      <c r="AK19" s="161"/>
    </row>
    <row r="20" spans="1:37">
      <c r="A20" s="1"/>
      <c r="B20" s="1"/>
      <c r="C20" s="1"/>
      <c r="D20" s="3"/>
      <c r="E20" s="3"/>
      <c r="F20" s="3"/>
      <c r="G20" s="3"/>
      <c r="H20" s="1"/>
      <c r="I20" s="1"/>
      <c r="J20" s="1"/>
      <c r="K20" s="1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1"/>
      <c r="AE20" s="1"/>
      <c r="AF20" s="1"/>
      <c r="AG20" s="1"/>
      <c r="AH20" s="1"/>
      <c r="AI20" s="89"/>
      <c r="AJ20" s="161"/>
      <c r="AK20" s="161"/>
    </row>
    <row r="21" spans="1:37">
      <c r="A21" s="1"/>
      <c r="B21" s="1"/>
      <c r="C21" s="1"/>
      <c r="D21" s="3"/>
      <c r="E21" s="3"/>
      <c r="F21" s="3"/>
      <c r="G21" s="3"/>
      <c r="H21" s="1"/>
      <c r="I21" s="1"/>
      <c r="J21" s="1"/>
      <c r="K21" s="1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1"/>
      <c r="AE21" s="1"/>
      <c r="AF21" s="1"/>
      <c r="AG21" s="1"/>
      <c r="AH21" s="1"/>
      <c r="AI21" s="89"/>
      <c r="AJ21" s="161"/>
      <c r="AK21" s="161"/>
    </row>
    <row r="22" spans="1:37">
      <c r="A22" s="1"/>
      <c r="B22" s="1"/>
      <c r="C22" s="1"/>
      <c r="D22" s="3"/>
      <c r="E22" s="3"/>
      <c r="F22" s="3"/>
      <c r="G22" s="3"/>
      <c r="H22" s="1"/>
      <c r="I22" s="1"/>
      <c r="J22" s="1"/>
      <c r="K22" s="1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1"/>
      <c r="AE22" s="1"/>
      <c r="AF22" s="1"/>
      <c r="AG22" s="1"/>
      <c r="AH22" s="1"/>
      <c r="AI22" s="89"/>
      <c r="AJ22" s="161"/>
      <c r="AK22" s="161"/>
    </row>
    <row r="23" spans="1:37">
      <c r="A23" s="1"/>
      <c r="B23" s="1"/>
      <c r="C23" s="1"/>
      <c r="D23" s="3"/>
      <c r="E23" s="3"/>
      <c r="F23" s="3"/>
      <c r="G23" s="3"/>
      <c r="H23" s="1"/>
      <c r="I23" s="1"/>
      <c r="J23" s="1"/>
      <c r="K23" s="1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1"/>
      <c r="AE23" s="1"/>
      <c r="AF23" s="1"/>
      <c r="AG23" s="1"/>
      <c r="AH23" s="1"/>
      <c r="AI23" s="89"/>
      <c r="AJ23" s="161"/>
      <c r="AK23" s="161"/>
    </row>
    <row r="24" spans="1:37">
      <c r="A24" s="1"/>
      <c r="B24" s="1"/>
      <c r="C24" s="1"/>
      <c r="D24" s="3"/>
      <c r="E24" s="3"/>
      <c r="F24" s="3"/>
      <c r="G24" s="3"/>
      <c r="H24" s="1"/>
      <c r="I24" s="1"/>
      <c r="J24" s="1"/>
      <c r="K24" s="1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1"/>
      <c r="AE24" s="1"/>
      <c r="AF24" s="1"/>
      <c r="AG24" s="1"/>
      <c r="AH24" s="1"/>
      <c r="AI24" s="89"/>
      <c r="AJ24" s="161"/>
      <c r="AK24" s="161"/>
    </row>
    <row r="25" spans="1:37">
      <c r="A25" s="1"/>
      <c r="B25" s="1"/>
      <c r="C25" s="1"/>
      <c r="D25" s="3"/>
      <c r="E25" s="3"/>
      <c r="F25" s="3"/>
      <c r="G25" s="3"/>
      <c r="H25" s="1"/>
      <c r="I25" s="1"/>
      <c r="J25" s="1"/>
      <c r="K25" s="1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1"/>
      <c r="AE25" s="1"/>
      <c r="AF25" s="1"/>
      <c r="AG25" s="1"/>
      <c r="AH25" s="1"/>
      <c r="AI25" s="89"/>
      <c r="AJ25" s="161"/>
      <c r="AK25" s="161"/>
    </row>
    <row r="26" spans="1:37">
      <c r="A26" s="1"/>
      <c r="B26" s="1"/>
      <c r="C26" s="1"/>
      <c r="D26" s="3"/>
      <c r="E26" s="3"/>
      <c r="F26" s="3"/>
      <c r="G26" s="3"/>
      <c r="H26" s="1"/>
      <c r="I26" s="1"/>
      <c r="J26" s="1"/>
      <c r="K26" s="1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1"/>
      <c r="AE26" s="1"/>
      <c r="AF26" s="1"/>
      <c r="AG26" s="1"/>
      <c r="AH26" s="1"/>
      <c r="AI26" s="89"/>
      <c r="AJ26" s="161"/>
      <c r="AK26" s="161"/>
    </row>
    <row r="27" spans="1:37">
      <c r="A27" s="1"/>
      <c r="B27" s="1"/>
      <c r="C27" s="1"/>
      <c r="D27" s="3"/>
      <c r="E27" s="3"/>
      <c r="F27" s="3"/>
      <c r="G27" s="3"/>
      <c r="H27" s="1"/>
      <c r="I27" s="1"/>
      <c r="J27" s="1"/>
      <c r="K27" s="1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1"/>
      <c r="AE27" s="1"/>
      <c r="AF27" s="1"/>
      <c r="AG27" s="1"/>
      <c r="AH27" s="1"/>
      <c r="AI27" s="89"/>
      <c r="AJ27" s="161"/>
      <c r="AK27" s="161"/>
    </row>
    <row r="28" spans="1:37">
      <c r="A28" s="1"/>
      <c r="B28" s="1"/>
      <c r="C28" s="1"/>
      <c r="D28" s="3"/>
      <c r="E28" s="3"/>
      <c r="F28" s="3"/>
      <c r="G28" s="3"/>
      <c r="H28" s="1"/>
      <c r="I28" s="1"/>
      <c r="J28" s="1"/>
      <c r="K28" s="1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1"/>
      <c r="AE28" s="1"/>
      <c r="AF28" s="1"/>
      <c r="AG28" s="1"/>
      <c r="AH28" s="1"/>
      <c r="AI28" s="89"/>
      <c r="AJ28" s="161"/>
      <c r="AK28" s="161"/>
    </row>
    <row r="29" spans="1:37">
      <c r="A29" s="1"/>
      <c r="B29" s="1"/>
      <c r="C29" s="1"/>
      <c r="D29" s="3"/>
      <c r="E29" s="3"/>
      <c r="F29" s="3"/>
      <c r="G29" s="3"/>
      <c r="H29" s="1"/>
      <c r="I29" s="1"/>
      <c r="J29" s="1"/>
      <c r="K29" s="1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1"/>
      <c r="AE29" s="1"/>
      <c r="AF29" s="1"/>
      <c r="AG29" s="1"/>
      <c r="AH29" s="1"/>
      <c r="AI29" s="89"/>
      <c r="AJ29" s="161"/>
      <c r="AK29" s="161"/>
    </row>
    <row r="30" spans="1:37">
      <c r="A30" s="1"/>
      <c r="B30" s="1"/>
      <c r="C30" s="1"/>
      <c r="D30" s="3"/>
      <c r="E30" s="3"/>
      <c r="F30" s="3"/>
      <c r="G30" s="3"/>
      <c r="H30" s="1"/>
      <c r="I30" s="1"/>
      <c r="J30" s="1"/>
      <c r="K30" s="1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1"/>
      <c r="AE30" s="1"/>
      <c r="AF30" s="1"/>
      <c r="AG30" s="1"/>
      <c r="AH30" s="1"/>
      <c r="AI30" s="89"/>
      <c r="AJ30" s="161"/>
      <c r="AK30" s="161"/>
    </row>
    <row r="31" spans="1:37">
      <c r="A31" s="1"/>
      <c r="B31" s="1"/>
      <c r="C31" s="1"/>
      <c r="D31" s="3"/>
      <c r="E31" s="3"/>
      <c r="F31" s="3"/>
      <c r="G31" s="3"/>
      <c r="H31" s="1"/>
      <c r="I31" s="1"/>
      <c r="J31" s="1"/>
      <c r="K31" s="1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1"/>
      <c r="AE31" s="1"/>
      <c r="AF31" s="1"/>
      <c r="AG31" s="1"/>
      <c r="AH31" s="1"/>
      <c r="AI31" s="89"/>
      <c r="AJ31" s="161"/>
      <c r="AK31" s="161"/>
    </row>
    <row r="32" spans="1:37">
      <c r="A32" s="1"/>
      <c r="B32" s="1"/>
      <c r="C32" s="1"/>
      <c r="D32" s="3"/>
      <c r="E32" s="3"/>
      <c r="F32" s="3"/>
      <c r="G32" s="3"/>
      <c r="H32" s="1"/>
      <c r="I32" s="1"/>
      <c r="J32" s="1"/>
      <c r="K32" s="1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1"/>
      <c r="AE32" s="1"/>
      <c r="AF32" s="1"/>
      <c r="AG32" s="1"/>
      <c r="AH32" s="1"/>
      <c r="AI32" s="89"/>
      <c r="AJ32" s="161"/>
      <c r="AK32" s="161"/>
    </row>
    <row r="33" spans="1:37">
      <c r="A33" s="1"/>
      <c r="B33" s="1"/>
      <c r="C33" s="1"/>
      <c r="D33" s="3"/>
      <c r="E33" s="3"/>
      <c r="F33" s="3"/>
      <c r="G33" s="3"/>
      <c r="H33" s="1"/>
      <c r="I33" s="1"/>
      <c r="J33" s="1"/>
      <c r="K33" s="1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1"/>
      <c r="AE33" s="1"/>
      <c r="AF33" s="1"/>
      <c r="AG33" s="1"/>
      <c r="AH33" s="1"/>
      <c r="AI33" s="89"/>
      <c r="AJ33" s="161"/>
      <c r="AK33" s="161"/>
    </row>
    <row r="34" spans="1:37">
      <c r="A34" s="1"/>
      <c r="B34" s="1"/>
      <c r="C34" s="1"/>
      <c r="D34" s="3"/>
      <c r="E34" s="3"/>
      <c r="F34" s="3"/>
      <c r="G34" s="3"/>
      <c r="H34" s="1"/>
      <c r="I34" s="1"/>
      <c r="J34" s="1"/>
      <c r="K34" s="1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1"/>
      <c r="AE34" s="1"/>
      <c r="AF34" s="1"/>
      <c r="AG34" s="1"/>
      <c r="AH34" s="1"/>
      <c r="AI34" s="89"/>
      <c r="AJ34" s="161"/>
      <c r="AK34" s="161"/>
    </row>
    <row r="35" spans="1:37">
      <c r="A35" s="1"/>
      <c r="B35" s="1"/>
      <c r="C35" s="1"/>
      <c r="D35" s="3"/>
      <c r="E35" s="3"/>
      <c r="F35" s="3"/>
      <c r="G35" s="3"/>
      <c r="H35" s="1"/>
      <c r="I35" s="1"/>
      <c r="J35" s="1"/>
      <c r="K35" s="1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1"/>
      <c r="AE35" s="1"/>
      <c r="AF35" s="1"/>
      <c r="AG35" s="1"/>
      <c r="AH35" s="1"/>
      <c r="AI35" s="89"/>
      <c r="AJ35" s="161"/>
      <c r="AK35" s="161"/>
    </row>
    <row r="36" spans="1:37">
      <c r="A36" s="1"/>
      <c r="B36" s="1"/>
      <c r="C36" s="1"/>
      <c r="D36" s="3"/>
      <c r="E36" s="3"/>
      <c r="F36" s="3"/>
      <c r="G36" s="3"/>
      <c r="H36" s="1"/>
      <c r="I36" s="1"/>
      <c r="J36" s="1"/>
      <c r="K36" s="1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1"/>
      <c r="AE36" s="1"/>
      <c r="AF36" s="1"/>
      <c r="AG36" s="1"/>
      <c r="AH36" s="1"/>
      <c r="AI36" s="89"/>
      <c r="AJ36" s="161"/>
      <c r="AK36" s="161"/>
    </row>
    <row r="37" spans="1:37">
      <c r="A37" s="1"/>
      <c r="B37" s="1"/>
      <c r="C37" s="1"/>
      <c r="D37" s="3"/>
      <c r="E37" s="3"/>
      <c r="F37" s="3"/>
      <c r="G37" s="3"/>
      <c r="H37" s="1"/>
      <c r="I37" s="1"/>
      <c r="J37" s="1"/>
      <c r="K37" s="1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1"/>
      <c r="AE37" s="1"/>
      <c r="AF37" s="1"/>
      <c r="AG37" s="1"/>
      <c r="AH37" s="1"/>
      <c r="AI37" s="89"/>
      <c r="AJ37" s="161"/>
      <c r="AK37" s="161"/>
    </row>
    <row r="38" spans="1:37">
      <c r="A38" s="1"/>
      <c r="B38" s="1"/>
      <c r="C38" s="1"/>
      <c r="D38" s="3"/>
      <c r="E38" s="3"/>
      <c r="F38" s="3"/>
      <c r="G38" s="3"/>
      <c r="H38" s="1"/>
      <c r="I38" s="1"/>
      <c r="J38" s="1"/>
      <c r="K38" s="1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1"/>
      <c r="AE38" s="1"/>
      <c r="AF38" s="1"/>
      <c r="AG38" s="1"/>
      <c r="AH38" s="1"/>
      <c r="AI38" s="89"/>
      <c r="AJ38" s="161"/>
      <c r="AK38" s="161"/>
    </row>
    <row r="39" spans="1:37">
      <c r="A39" s="1"/>
      <c r="B39" s="1"/>
      <c r="C39" s="1"/>
      <c r="D39" s="3"/>
      <c r="E39" s="3"/>
      <c r="F39" s="3"/>
      <c r="G39" s="3"/>
      <c r="H39" s="1"/>
      <c r="I39" s="1"/>
      <c r="J39" s="1"/>
      <c r="K39" s="1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1"/>
      <c r="AE39" s="1"/>
      <c r="AF39" s="1"/>
      <c r="AG39" s="1"/>
      <c r="AH39" s="1"/>
      <c r="AI39" s="89"/>
      <c r="AJ39" s="161"/>
      <c r="AK39" s="161"/>
    </row>
    <row r="40" spans="1:37">
      <c r="A40" s="1"/>
      <c r="B40" s="1"/>
      <c r="C40" s="1"/>
      <c r="D40" s="3"/>
      <c r="E40" s="3"/>
      <c r="F40" s="3"/>
      <c r="G40" s="3"/>
      <c r="H40" s="1"/>
      <c r="I40" s="1"/>
      <c r="J40" s="1"/>
      <c r="K40" s="1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1"/>
      <c r="AE40" s="1"/>
      <c r="AF40" s="1"/>
      <c r="AG40" s="1"/>
      <c r="AH40" s="1"/>
      <c r="AI40" s="89"/>
      <c r="AJ40" s="161"/>
      <c r="AK40" s="161"/>
    </row>
    <row r="41" spans="1:37">
      <c r="A41" s="1"/>
      <c r="B41" s="1"/>
      <c r="C41" s="1"/>
      <c r="D41" s="3"/>
      <c r="E41" s="3"/>
      <c r="F41" s="3"/>
      <c r="G41" s="3"/>
      <c r="H41" s="1"/>
      <c r="I41" s="1"/>
      <c r="J41" s="1"/>
      <c r="K41" s="1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1"/>
      <c r="AE41" s="1"/>
      <c r="AF41" s="1"/>
      <c r="AG41" s="1"/>
      <c r="AH41" s="1"/>
      <c r="AI41" s="89"/>
      <c r="AJ41" s="161"/>
      <c r="AK41" s="161"/>
    </row>
    <row r="42" spans="1:37">
      <c r="A42" s="1"/>
      <c r="B42" s="1"/>
      <c r="C42" s="1"/>
      <c r="D42" s="3"/>
      <c r="E42" s="3"/>
      <c r="F42" s="3"/>
      <c r="G42" s="3"/>
      <c r="H42" s="1"/>
      <c r="I42" s="1"/>
      <c r="J42" s="1"/>
      <c r="K42" s="1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1"/>
      <c r="AE42" s="1"/>
      <c r="AF42" s="1"/>
      <c r="AG42" s="1"/>
      <c r="AH42" s="1"/>
      <c r="AI42" s="89"/>
      <c r="AJ42" s="161"/>
      <c r="AK42" s="161"/>
    </row>
    <row r="43" spans="1:37">
      <c r="A43" s="1"/>
      <c r="B43" s="1"/>
      <c r="C43" s="1"/>
      <c r="D43" s="3"/>
      <c r="E43" s="3"/>
      <c r="F43" s="3"/>
      <c r="G43" s="3"/>
      <c r="H43" s="1"/>
      <c r="I43" s="1"/>
      <c r="J43" s="1"/>
      <c r="K43" s="1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1"/>
      <c r="AE43" s="1"/>
      <c r="AF43" s="1"/>
      <c r="AG43" s="1"/>
      <c r="AH43" s="1"/>
      <c r="AI43" s="89"/>
      <c r="AJ43" s="161"/>
      <c r="AK43" s="161"/>
    </row>
    <row r="44" spans="1:37">
      <c r="A44" s="1"/>
      <c r="B44" s="1"/>
      <c r="C44" s="1"/>
      <c r="D44" s="3"/>
      <c r="E44" s="3"/>
      <c r="F44" s="3"/>
      <c r="G44" s="3"/>
      <c r="H44" s="1"/>
      <c r="I44" s="1"/>
      <c r="J44" s="1"/>
      <c r="K44" s="1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1"/>
      <c r="AE44" s="1"/>
      <c r="AF44" s="1"/>
      <c r="AG44" s="1"/>
      <c r="AH44" s="1"/>
      <c r="AI44" s="89"/>
      <c r="AJ44" s="161"/>
      <c r="AK44" s="161"/>
    </row>
    <row r="45" spans="1:37">
      <c r="A45" s="1"/>
      <c r="B45" s="1"/>
      <c r="C45" s="1"/>
      <c r="D45" s="3"/>
      <c r="E45" s="3"/>
      <c r="F45" s="3"/>
      <c r="G45" s="3"/>
      <c r="H45" s="1"/>
      <c r="I45" s="1"/>
      <c r="J45" s="1"/>
      <c r="K45" s="1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1"/>
      <c r="AE45" s="1"/>
      <c r="AF45" s="1"/>
      <c r="AG45" s="1"/>
      <c r="AH45" s="1"/>
      <c r="AI45" s="89"/>
      <c r="AJ45" s="161"/>
      <c r="AK45" s="161"/>
    </row>
    <row r="46" spans="1:37">
      <c r="A46" s="1"/>
      <c r="B46" s="1"/>
      <c r="C46" s="1"/>
      <c r="D46" s="3"/>
      <c r="E46" s="3"/>
      <c r="F46" s="3"/>
      <c r="G46" s="3"/>
      <c r="H46" s="1"/>
      <c r="I46" s="1"/>
      <c r="J46" s="1"/>
      <c r="K46" s="1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1"/>
      <c r="AE46" s="1"/>
      <c r="AF46" s="1"/>
      <c r="AG46" s="1"/>
      <c r="AH46" s="1"/>
      <c r="AI46" s="89"/>
      <c r="AJ46" s="161"/>
      <c r="AK46" s="161"/>
    </row>
    <row r="47" spans="1:37">
      <c r="A47" s="1"/>
      <c r="B47" s="1"/>
      <c r="C47" s="1"/>
      <c r="D47" s="3"/>
      <c r="E47" s="3"/>
      <c r="F47" s="3"/>
      <c r="G47" s="3"/>
      <c r="H47" s="1"/>
      <c r="I47" s="1"/>
      <c r="J47" s="1"/>
      <c r="K47" s="1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1"/>
      <c r="AE47" s="1"/>
      <c r="AF47" s="1"/>
      <c r="AG47" s="1"/>
      <c r="AH47" s="1"/>
      <c r="AI47" s="89"/>
      <c r="AJ47" s="161"/>
      <c r="AK47" s="161"/>
    </row>
    <row r="48" spans="1:37">
      <c r="A48" s="1"/>
      <c r="B48" s="1"/>
      <c r="C48" s="1"/>
      <c r="D48" s="3"/>
      <c r="E48" s="3"/>
      <c r="F48" s="3"/>
      <c r="G48" s="3"/>
      <c r="H48" s="1"/>
      <c r="I48" s="1"/>
      <c r="J48" s="1"/>
      <c r="K48" s="1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1"/>
      <c r="AE48" s="1"/>
      <c r="AF48" s="1"/>
      <c r="AG48" s="1"/>
      <c r="AH48" s="1"/>
      <c r="AI48" s="89"/>
      <c r="AJ48" s="161"/>
      <c r="AK48" s="161"/>
    </row>
    <row r="49" spans="1:37">
      <c r="A49" s="1"/>
      <c r="B49" s="1"/>
      <c r="C49" s="1"/>
      <c r="D49" s="3"/>
      <c r="E49" s="3"/>
      <c r="F49" s="3"/>
      <c r="G49" s="3"/>
      <c r="H49" s="1"/>
      <c r="I49" s="1"/>
      <c r="J49" s="1"/>
      <c r="K49" s="1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1"/>
      <c r="AE49" s="1"/>
      <c r="AF49" s="1"/>
      <c r="AG49" s="1"/>
      <c r="AH49" s="1"/>
      <c r="AI49" s="89"/>
      <c r="AJ49" s="161"/>
      <c r="AK49" s="161"/>
    </row>
    <row r="50" spans="1:37">
      <c r="A50" s="1"/>
      <c r="B50" s="1"/>
      <c r="C50" s="1"/>
      <c r="D50" s="3"/>
      <c r="E50" s="3"/>
      <c r="F50" s="3"/>
      <c r="G50" s="3"/>
      <c r="H50" s="1"/>
      <c r="I50" s="1"/>
      <c r="J50" s="1"/>
      <c r="K50" s="1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1"/>
      <c r="AE50" s="1"/>
      <c r="AF50" s="1"/>
      <c r="AG50" s="1"/>
      <c r="AH50" s="1"/>
      <c r="AI50" s="89"/>
      <c r="AJ50" s="161"/>
      <c r="AK50" s="161"/>
    </row>
    <row r="51" spans="1:37">
      <c r="A51" s="1"/>
      <c r="B51" s="1"/>
      <c r="C51" s="1"/>
      <c r="D51" s="3"/>
      <c r="E51" s="3"/>
      <c r="F51" s="3"/>
      <c r="G51" s="3"/>
      <c r="H51" s="1"/>
      <c r="I51" s="1"/>
      <c r="J51" s="1"/>
      <c r="K51" s="1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1"/>
      <c r="AE51" s="1"/>
      <c r="AF51" s="1"/>
      <c r="AG51" s="1"/>
      <c r="AH51" s="1"/>
      <c r="AI51" s="89"/>
      <c r="AJ51" s="161"/>
      <c r="AK51" s="161"/>
    </row>
    <row r="52" spans="1:37">
      <c r="A52" s="1"/>
      <c r="B52" s="1"/>
      <c r="C52" s="1"/>
      <c r="D52" s="3"/>
      <c r="E52" s="3"/>
      <c r="F52" s="3"/>
      <c r="G52" s="3"/>
      <c r="H52" s="1"/>
      <c r="I52" s="1"/>
      <c r="J52" s="1"/>
      <c r="K52" s="1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1"/>
      <c r="AE52" s="1"/>
      <c r="AF52" s="1"/>
      <c r="AG52" s="1"/>
      <c r="AH52" s="1"/>
      <c r="AI52" s="89"/>
      <c r="AJ52" s="161"/>
      <c r="AK52" s="161"/>
    </row>
    <row r="53" spans="1:37">
      <c r="A53" s="1"/>
      <c r="B53" s="1"/>
      <c r="C53" s="1"/>
      <c r="D53" s="3"/>
      <c r="E53" s="3"/>
      <c r="F53" s="3"/>
      <c r="G53" s="3"/>
      <c r="H53" s="1"/>
      <c r="I53" s="1"/>
      <c r="J53" s="1"/>
      <c r="K53" s="1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1"/>
      <c r="AE53" s="1"/>
      <c r="AF53" s="1"/>
      <c r="AG53" s="1"/>
      <c r="AH53" s="1"/>
      <c r="AI53" s="89"/>
      <c r="AJ53" s="161"/>
      <c r="AK53" s="161"/>
    </row>
    <row r="54" spans="1:37">
      <c r="A54" s="1"/>
      <c r="B54" s="1"/>
      <c r="C54" s="1"/>
      <c r="D54" s="3"/>
      <c r="E54" s="3"/>
      <c r="F54" s="3"/>
      <c r="G54" s="3"/>
      <c r="H54" s="1"/>
      <c r="I54" s="1"/>
      <c r="J54" s="1"/>
      <c r="K54" s="1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1"/>
      <c r="AE54" s="1"/>
      <c r="AF54" s="1"/>
      <c r="AG54" s="1"/>
      <c r="AH54" s="1"/>
      <c r="AI54" s="89"/>
      <c r="AJ54" s="161"/>
      <c r="AK54" s="161"/>
    </row>
    <row r="55" spans="1:37">
      <c r="A55" s="1"/>
      <c r="B55" s="1"/>
      <c r="C55" s="1"/>
      <c r="D55" s="3"/>
      <c r="E55" s="3"/>
      <c r="F55" s="3"/>
      <c r="G55" s="3"/>
      <c r="H55" s="1"/>
      <c r="I55" s="1"/>
      <c r="J55" s="1"/>
      <c r="K55" s="1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1"/>
      <c r="AE55" s="1"/>
      <c r="AF55" s="1"/>
      <c r="AG55" s="1"/>
      <c r="AH55" s="1"/>
      <c r="AI55" s="89"/>
      <c r="AJ55" s="161"/>
      <c r="AK55" s="161"/>
    </row>
    <row r="56" spans="1:37">
      <c r="A56" s="1"/>
      <c r="B56" s="1"/>
      <c r="C56" s="1"/>
      <c r="D56" s="3"/>
      <c r="E56" s="3"/>
      <c r="F56" s="3"/>
      <c r="G56" s="3"/>
      <c r="H56" s="1"/>
      <c r="I56" s="1"/>
      <c r="J56" s="1"/>
      <c r="K56" s="1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1"/>
      <c r="AE56" s="1"/>
      <c r="AF56" s="1"/>
      <c r="AG56" s="1"/>
      <c r="AH56" s="1"/>
      <c r="AI56" s="89"/>
      <c r="AJ56" s="161"/>
      <c r="AK56" s="161"/>
    </row>
    <row r="57" spans="1:37">
      <c r="A57" s="1"/>
      <c r="B57" s="1"/>
      <c r="C57" s="1"/>
      <c r="D57" s="3"/>
      <c r="E57" s="3"/>
      <c r="F57" s="3"/>
      <c r="G57" s="3"/>
      <c r="H57" s="1"/>
      <c r="I57" s="1"/>
      <c r="J57" s="1"/>
      <c r="K57" s="1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1"/>
      <c r="AE57" s="1"/>
      <c r="AF57" s="1"/>
      <c r="AG57" s="1"/>
      <c r="AH57" s="1"/>
      <c r="AI57" s="89"/>
      <c r="AJ57" s="161"/>
      <c r="AK57" s="161"/>
    </row>
    <row r="58" spans="1:37">
      <c r="A58" s="1"/>
      <c r="B58" s="1"/>
      <c r="C58" s="1"/>
      <c r="D58" s="3"/>
      <c r="E58" s="3"/>
      <c r="F58" s="3"/>
      <c r="G58" s="3"/>
      <c r="H58" s="1"/>
      <c r="I58" s="1"/>
      <c r="J58" s="1"/>
      <c r="K58" s="1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1"/>
      <c r="AE58" s="1"/>
      <c r="AF58" s="1"/>
      <c r="AG58" s="1"/>
      <c r="AH58" s="1"/>
      <c r="AI58" s="89"/>
      <c r="AJ58" s="161"/>
      <c r="AK58" s="161"/>
    </row>
    <row r="59" spans="1:37">
      <c r="A59" s="1"/>
      <c r="B59" s="1"/>
      <c r="C59" s="1"/>
      <c r="D59" s="3"/>
      <c r="E59" s="3"/>
      <c r="F59" s="3"/>
      <c r="G59" s="3"/>
      <c r="H59" s="1"/>
      <c r="I59" s="1"/>
      <c r="J59" s="1"/>
      <c r="K59" s="1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1"/>
      <c r="AE59" s="1"/>
      <c r="AF59" s="1"/>
      <c r="AG59" s="1"/>
      <c r="AH59" s="1"/>
      <c r="AI59" s="89"/>
      <c r="AJ59" s="161"/>
      <c r="AK59" s="161"/>
    </row>
    <row r="60" spans="1:37">
      <c r="A60" s="1"/>
      <c r="B60" s="1"/>
      <c r="C60" s="1"/>
      <c r="D60" s="3"/>
      <c r="E60" s="3"/>
      <c r="F60" s="3"/>
      <c r="G60" s="3"/>
      <c r="H60" s="1"/>
      <c r="I60" s="1"/>
      <c r="J60" s="1"/>
      <c r="K60" s="1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1"/>
      <c r="AE60" s="1"/>
      <c r="AF60" s="1"/>
      <c r="AG60" s="1"/>
      <c r="AH60" s="1"/>
      <c r="AI60" s="89"/>
      <c r="AJ60" s="161"/>
      <c r="AK60" s="161"/>
    </row>
    <row r="61" spans="1:37">
      <c r="A61" s="1"/>
      <c r="B61" s="1"/>
      <c r="C61" s="1"/>
      <c r="D61" s="3"/>
      <c r="E61" s="3"/>
      <c r="F61" s="3"/>
      <c r="G61" s="3"/>
      <c r="H61" s="1"/>
      <c r="I61" s="1"/>
      <c r="J61" s="1"/>
      <c r="K61" s="1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1"/>
      <c r="AE61" s="1"/>
      <c r="AF61" s="1"/>
      <c r="AG61" s="1"/>
      <c r="AH61" s="1"/>
      <c r="AI61" s="89"/>
      <c r="AJ61" s="161"/>
      <c r="AK61" s="161"/>
    </row>
    <row r="62" spans="1:37">
      <c r="A62" s="1"/>
      <c r="B62" s="1"/>
      <c r="C62" s="1"/>
      <c r="D62" s="3"/>
      <c r="E62" s="3"/>
      <c r="F62" s="3"/>
      <c r="G62" s="3"/>
      <c r="H62" s="1"/>
      <c r="I62" s="1"/>
      <c r="J62" s="1"/>
      <c r="K62" s="1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1"/>
      <c r="AE62" s="1"/>
      <c r="AF62" s="1"/>
      <c r="AG62" s="1"/>
      <c r="AH62" s="1"/>
      <c r="AI62" s="89"/>
      <c r="AJ62" s="161"/>
      <c r="AK62" s="161"/>
    </row>
    <row r="63" spans="1:37">
      <c r="A63" s="1"/>
      <c r="B63" s="1"/>
      <c r="C63" s="1"/>
      <c r="D63" s="3"/>
      <c r="E63" s="3"/>
      <c r="F63" s="3"/>
      <c r="G63" s="3"/>
      <c r="H63" s="1"/>
      <c r="I63" s="1"/>
      <c r="J63" s="1"/>
      <c r="K63" s="1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1"/>
      <c r="AE63" s="1"/>
      <c r="AF63" s="1"/>
      <c r="AG63" s="1"/>
      <c r="AH63" s="1"/>
      <c r="AI63" s="89"/>
      <c r="AJ63" s="161"/>
      <c r="AK63" s="161"/>
    </row>
    <row r="64" spans="1:37">
      <c r="A64" s="1"/>
      <c r="B64" s="1"/>
      <c r="C64" s="1"/>
      <c r="D64" s="3"/>
      <c r="E64" s="3"/>
      <c r="F64" s="3"/>
      <c r="G64" s="3"/>
      <c r="H64" s="1"/>
      <c r="I64" s="1"/>
      <c r="J64" s="1"/>
      <c r="K64" s="1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1"/>
      <c r="AE64" s="1"/>
      <c r="AF64" s="1"/>
      <c r="AG64" s="1"/>
      <c r="AH64" s="1"/>
      <c r="AI64" s="89"/>
      <c r="AJ64" s="161"/>
      <c r="AK64" s="161"/>
    </row>
    <row r="65" spans="1:37">
      <c r="A65" s="1"/>
      <c r="B65" s="1"/>
      <c r="C65" s="1"/>
      <c r="D65" s="3"/>
      <c r="E65" s="3"/>
      <c r="F65" s="3"/>
      <c r="G65" s="3"/>
      <c r="H65" s="1"/>
      <c r="I65" s="1"/>
      <c r="J65" s="1"/>
      <c r="K65" s="1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1"/>
      <c r="AE65" s="1"/>
      <c r="AF65" s="1"/>
      <c r="AG65" s="1"/>
      <c r="AH65" s="1"/>
      <c r="AI65" s="89"/>
      <c r="AJ65" s="161"/>
      <c r="AK65" s="161"/>
    </row>
    <row r="66" spans="1:37">
      <c r="A66" s="1"/>
      <c r="B66" s="1"/>
      <c r="C66" s="1"/>
      <c r="D66" s="3"/>
      <c r="E66" s="3"/>
      <c r="F66" s="3"/>
      <c r="G66" s="3"/>
      <c r="H66" s="1"/>
      <c r="I66" s="1"/>
      <c r="J66" s="1"/>
      <c r="K66" s="1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1"/>
      <c r="AE66" s="1"/>
      <c r="AF66" s="1"/>
      <c r="AG66" s="1"/>
      <c r="AH66" s="1"/>
      <c r="AI66" s="89"/>
      <c r="AJ66" s="161"/>
      <c r="AK66" s="161"/>
    </row>
    <row r="67" spans="1:37">
      <c r="A67" s="1"/>
      <c r="B67" s="1"/>
      <c r="C67" s="1"/>
      <c r="D67" s="3"/>
      <c r="E67" s="3"/>
      <c r="F67" s="3"/>
      <c r="G67" s="3"/>
      <c r="H67" s="1"/>
      <c r="I67" s="1"/>
      <c r="J67" s="1"/>
      <c r="K67" s="1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1"/>
      <c r="AE67" s="1"/>
      <c r="AF67" s="1"/>
      <c r="AG67" s="1"/>
      <c r="AH67" s="1"/>
      <c r="AI67" s="89"/>
      <c r="AJ67" s="161"/>
      <c r="AK67" s="161"/>
    </row>
    <row r="68" spans="1:37">
      <c r="A68" s="1"/>
      <c r="B68" s="1"/>
      <c r="C68" s="1"/>
      <c r="D68" s="3"/>
      <c r="E68" s="3"/>
      <c r="F68" s="3"/>
      <c r="G68" s="3"/>
      <c r="H68" s="1"/>
      <c r="I68" s="1"/>
      <c r="J68" s="1"/>
      <c r="K68" s="1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1"/>
      <c r="AE68" s="1"/>
      <c r="AF68" s="1"/>
      <c r="AG68" s="1"/>
      <c r="AH68" s="1"/>
      <c r="AI68" s="89"/>
      <c r="AJ68" s="161"/>
      <c r="AK68" s="161"/>
    </row>
    <row r="69" spans="1:37">
      <c r="A69" s="1"/>
      <c r="B69" s="1"/>
      <c r="C69" s="1"/>
      <c r="D69" s="3"/>
      <c r="E69" s="3"/>
      <c r="F69" s="3"/>
      <c r="G69" s="3"/>
      <c r="H69" s="1"/>
      <c r="I69" s="1"/>
      <c r="J69" s="1"/>
      <c r="K69" s="1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1"/>
      <c r="AE69" s="1"/>
      <c r="AF69" s="1"/>
      <c r="AG69" s="1"/>
      <c r="AH69" s="1"/>
      <c r="AI69" s="89"/>
      <c r="AJ69" s="161"/>
      <c r="AK69" s="161"/>
    </row>
    <row r="70" spans="1:37">
      <c r="A70" s="1"/>
      <c r="B70" s="1"/>
      <c r="C70" s="1"/>
      <c r="D70" s="3"/>
      <c r="E70" s="3"/>
      <c r="F70" s="3"/>
      <c r="G70" s="3"/>
      <c r="H70" s="1"/>
      <c r="I70" s="1"/>
      <c r="J70" s="1"/>
      <c r="K70" s="1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1"/>
      <c r="AE70" s="1"/>
      <c r="AF70" s="1"/>
      <c r="AG70" s="1"/>
      <c r="AH70" s="1"/>
      <c r="AI70" s="89"/>
      <c r="AJ70" s="161"/>
      <c r="AK70" s="161"/>
    </row>
    <row r="71" spans="1:37">
      <c r="A71" s="1"/>
      <c r="B71" s="1"/>
      <c r="C71" s="1"/>
      <c r="D71" s="3"/>
      <c r="E71" s="3"/>
      <c r="F71" s="3"/>
      <c r="G71" s="3"/>
      <c r="H71" s="1"/>
      <c r="I71" s="1"/>
      <c r="J71" s="1"/>
      <c r="K71" s="1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1"/>
      <c r="AE71" s="1"/>
      <c r="AF71" s="1"/>
      <c r="AG71" s="1"/>
      <c r="AH71" s="1"/>
      <c r="AI71" s="89"/>
      <c r="AJ71" s="161"/>
      <c r="AK71" s="161"/>
    </row>
    <row r="72" spans="1:37">
      <c r="A72" s="1"/>
      <c r="B72" s="1"/>
      <c r="C72" s="1"/>
      <c r="D72" s="3"/>
      <c r="E72" s="3"/>
      <c r="F72" s="3"/>
      <c r="G72" s="3"/>
      <c r="H72" s="1"/>
      <c r="I72" s="1"/>
      <c r="J72" s="1"/>
      <c r="K72" s="1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1"/>
      <c r="AE72" s="1"/>
      <c r="AF72" s="1"/>
      <c r="AG72" s="1"/>
      <c r="AH72" s="1"/>
      <c r="AI72" s="89"/>
      <c r="AJ72" s="161"/>
      <c r="AK72" s="161"/>
    </row>
    <row r="73" spans="1:37">
      <c r="A73" s="1"/>
      <c r="B73" s="1"/>
      <c r="C73" s="1"/>
      <c r="D73" s="3"/>
      <c r="E73" s="3"/>
      <c r="F73" s="3"/>
      <c r="G73" s="3"/>
      <c r="H73" s="1"/>
      <c r="I73" s="1"/>
      <c r="J73" s="1"/>
      <c r="K73" s="1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1"/>
      <c r="AE73" s="1"/>
      <c r="AF73" s="1"/>
      <c r="AG73" s="1"/>
      <c r="AH73" s="1"/>
      <c r="AI73" s="89"/>
      <c r="AJ73" s="161"/>
      <c r="AK73" s="161"/>
    </row>
    <row r="74" spans="1:37">
      <c r="A74" s="1"/>
      <c r="B74" s="1"/>
      <c r="C74" s="1"/>
      <c r="D74" s="3"/>
      <c r="E74" s="3"/>
      <c r="F74" s="3"/>
      <c r="G74" s="3"/>
      <c r="H74" s="1"/>
      <c r="I74" s="1"/>
      <c r="J74" s="1"/>
      <c r="K74" s="1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1"/>
      <c r="AE74" s="1"/>
      <c r="AF74" s="1"/>
      <c r="AG74" s="1"/>
      <c r="AH74" s="1"/>
      <c r="AI74" s="89"/>
      <c r="AJ74" s="161"/>
      <c r="AK74" s="161"/>
    </row>
    <row r="75" spans="1:37">
      <c r="A75" s="1"/>
      <c r="B75" s="1"/>
      <c r="C75" s="1"/>
      <c r="D75" s="3"/>
      <c r="E75" s="3"/>
      <c r="F75" s="3"/>
      <c r="G75" s="3"/>
      <c r="H75" s="1"/>
      <c r="I75" s="1"/>
      <c r="J75" s="1"/>
      <c r="K75" s="1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1"/>
      <c r="AE75" s="1"/>
      <c r="AF75" s="1"/>
      <c r="AG75" s="1"/>
      <c r="AH75" s="1"/>
      <c r="AI75" s="89"/>
      <c r="AJ75" s="161"/>
      <c r="AK75" s="161"/>
    </row>
    <row r="76" spans="1:37">
      <c r="A76" s="1"/>
      <c r="B76" s="1"/>
      <c r="C76" s="1"/>
      <c r="D76" s="3"/>
      <c r="E76" s="3"/>
      <c r="F76" s="3"/>
      <c r="G76" s="3"/>
      <c r="H76" s="1"/>
      <c r="I76" s="1"/>
      <c r="J76" s="1"/>
      <c r="K76" s="1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1"/>
      <c r="AE76" s="1"/>
      <c r="AF76" s="1"/>
      <c r="AG76" s="1"/>
      <c r="AH76" s="1"/>
      <c r="AI76" s="89"/>
      <c r="AJ76" s="161"/>
      <c r="AK76" s="161"/>
    </row>
    <row r="77" spans="1:37">
      <c r="A77" s="1"/>
      <c r="B77" s="1"/>
      <c r="C77" s="1"/>
      <c r="D77" s="3"/>
      <c r="E77" s="3"/>
      <c r="F77" s="3"/>
      <c r="G77" s="3"/>
      <c r="H77" s="1"/>
      <c r="I77" s="1"/>
      <c r="J77" s="1"/>
      <c r="K77" s="1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1"/>
      <c r="AE77" s="1"/>
      <c r="AF77" s="1"/>
      <c r="AG77" s="1"/>
      <c r="AH77" s="1"/>
      <c r="AI77" s="89"/>
      <c r="AJ77" s="161"/>
      <c r="AK77" s="161"/>
    </row>
    <row r="78" spans="1:37">
      <c r="A78" s="1"/>
      <c r="B78" s="1"/>
      <c r="C78" s="1"/>
      <c r="D78" s="3"/>
      <c r="E78" s="3"/>
      <c r="F78" s="3"/>
      <c r="G78" s="3"/>
      <c r="H78" s="1"/>
      <c r="I78" s="1"/>
      <c r="J78" s="1"/>
      <c r="K78" s="1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1"/>
      <c r="AE78" s="1"/>
      <c r="AF78" s="1"/>
      <c r="AG78" s="1"/>
      <c r="AH78" s="1"/>
      <c r="AI78" s="89"/>
      <c r="AJ78" s="161"/>
      <c r="AK78" s="161"/>
    </row>
    <row r="79" spans="1:37">
      <c r="A79" s="1"/>
      <c r="B79" s="1"/>
      <c r="C79" s="1"/>
      <c r="D79" s="3"/>
      <c r="E79" s="3"/>
      <c r="F79" s="3"/>
      <c r="G79" s="3"/>
      <c r="H79" s="1"/>
      <c r="I79" s="1"/>
      <c r="J79" s="1"/>
      <c r="K79" s="1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1"/>
      <c r="AE79" s="1"/>
      <c r="AF79" s="1"/>
      <c r="AG79" s="1"/>
      <c r="AH79" s="1"/>
      <c r="AI79" s="89"/>
      <c r="AJ79" s="161"/>
      <c r="AK79" s="161"/>
    </row>
    <row r="80" spans="1:37">
      <c r="A80" s="1"/>
      <c r="B80" s="1"/>
      <c r="C80" s="1"/>
      <c r="D80" s="3"/>
      <c r="E80" s="3"/>
      <c r="F80" s="3"/>
      <c r="G80" s="3"/>
      <c r="H80" s="1"/>
      <c r="I80" s="1"/>
      <c r="J80" s="1"/>
      <c r="K80" s="1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1"/>
      <c r="AE80" s="1"/>
      <c r="AF80" s="1"/>
      <c r="AG80" s="1"/>
      <c r="AH80" s="1"/>
      <c r="AI80" s="89"/>
      <c r="AJ80" s="161"/>
      <c r="AK80" s="161"/>
    </row>
    <row r="81" spans="1:37">
      <c r="A81" s="1"/>
      <c r="B81" s="1"/>
      <c r="C81" s="1"/>
      <c r="D81" s="3"/>
      <c r="E81" s="3"/>
      <c r="F81" s="3"/>
      <c r="G81" s="3"/>
      <c r="H81" s="1"/>
      <c r="I81" s="1"/>
      <c r="J81" s="1"/>
      <c r="K81" s="1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1"/>
      <c r="AE81" s="1"/>
      <c r="AF81" s="1"/>
      <c r="AG81" s="1"/>
      <c r="AH81" s="1"/>
      <c r="AI81" s="89"/>
      <c r="AJ81" s="161"/>
      <c r="AK81" s="161"/>
    </row>
    <row r="82" spans="1:37">
      <c r="A82" s="1"/>
      <c r="B82" s="1"/>
      <c r="C82" s="1"/>
      <c r="D82" s="3"/>
      <c r="E82" s="3"/>
      <c r="F82" s="3"/>
      <c r="G82" s="3"/>
      <c r="H82" s="1"/>
      <c r="I82" s="1"/>
      <c r="J82" s="1"/>
      <c r="K82" s="1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1"/>
      <c r="AE82" s="1"/>
      <c r="AF82" s="1"/>
      <c r="AG82" s="1"/>
      <c r="AH82" s="1"/>
      <c r="AI82" s="89"/>
      <c r="AJ82" s="161"/>
      <c r="AK82" s="161"/>
    </row>
    <row r="83" spans="1:37">
      <c r="A83" s="1"/>
      <c r="B83" s="1"/>
      <c r="C83" s="1"/>
      <c r="D83" s="3"/>
      <c r="E83" s="3"/>
      <c r="F83" s="3"/>
      <c r="G83" s="3"/>
      <c r="H83" s="1"/>
      <c r="I83" s="1"/>
      <c r="J83" s="1"/>
      <c r="K83" s="1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1"/>
      <c r="AE83" s="1"/>
      <c r="AF83" s="1"/>
      <c r="AG83" s="1"/>
      <c r="AH83" s="1"/>
      <c r="AI83" s="89"/>
      <c r="AJ83" s="161"/>
      <c r="AK83" s="161"/>
    </row>
    <row r="84" spans="1:37">
      <c r="A84" s="1"/>
      <c r="B84" s="1"/>
      <c r="C84" s="1"/>
      <c r="D84" s="3"/>
      <c r="E84" s="3"/>
      <c r="F84" s="3"/>
      <c r="G84" s="3"/>
      <c r="H84" s="1"/>
      <c r="I84" s="1"/>
      <c r="J84" s="1"/>
      <c r="K84" s="1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1"/>
      <c r="AE84" s="1"/>
      <c r="AF84" s="1"/>
      <c r="AG84" s="1"/>
      <c r="AH84" s="1"/>
      <c r="AI84" s="89"/>
      <c r="AJ84" s="161"/>
      <c r="AK84" s="161"/>
    </row>
    <row r="85" spans="1:37">
      <c r="A85" s="1"/>
      <c r="B85" s="1"/>
      <c r="C85" s="1"/>
      <c r="D85" s="3"/>
      <c r="E85" s="3"/>
      <c r="F85" s="3"/>
      <c r="G85" s="3"/>
      <c r="H85" s="1"/>
      <c r="I85" s="1"/>
      <c r="J85" s="1"/>
      <c r="K85" s="1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1"/>
      <c r="AE85" s="1"/>
      <c r="AF85" s="1"/>
      <c r="AG85" s="1"/>
      <c r="AH85" s="1"/>
      <c r="AI85" s="89"/>
      <c r="AJ85" s="161"/>
      <c r="AK85" s="161"/>
    </row>
    <row r="86" spans="1:37">
      <c r="A86" s="1"/>
      <c r="B86" s="1"/>
      <c r="C86" s="1"/>
      <c r="D86" s="3"/>
      <c r="E86" s="3"/>
      <c r="F86" s="3"/>
      <c r="G86" s="3"/>
      <c r="H86" s="1"/>
      <c r="I86" s="1"/>
      <c r="J86" s="1"/>
      <c r="K86" s="1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1"/>
      <c r="AE86" s="1"/>
      <c r="AF86" s="1"/>
      <c r="AG86" s="1"/>
      <c r="AH86" s="1"/>
      <c r="AI86" s="89"/>
      <c r="AJ86" s="161"/>
      <c r="AK86" s="161"/>
    </row>
    <row r="87" spans="1:37">
      <c r="A87" s="1"/>
      <c r="B87" s="1"/>
      <c r="C87" s="1"/>
      <c r="D87" s="3"/>
      <c r="E87" s="3"/>
      <c r="F87" s="3"/>
      <c r="G87" s="3"/>
      <c r="H87" s="1"/>
      <c r="I87" s="1"/>
      <c r="J87" s="1"/>
      <c r="K87" s="1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1"/>
      <c r="AE87" s="1"/>
      <c r="AF87" s="1"/>
      <c r="AG87" s="1"/>
      <c r="AH87" s="1"/>
      <c r="AI87" s="89"/>
      <c r="AJ87" s="161"/>
      <c r="AK87" s="161"/>
    </row>
    <row r="88" spans="1:37">
      <c r="A88" s="1"/>
      <c r="B88" s="1"/>
      <c r="C88" s="1"/>
      <c r="D88" s="3"/>
      <c r="E88" s="3"/>
      <c r="F88" s="3"/>
      <c r="G88" s="3"/>
      <c r="H88" s="1"/>
      <c r="I88" s="1"/>
      <c r="J88" s="1"/>
      <c r="K88" s="1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1"/>
      <c r="AE88" s="1"/>
      <c r="AF88" s="1"/>
      <c r="AG88" s="1"/>
      <c r="AH88" s="1"/>
      <c r="AI88" s="89"/>
      <c r="AJ88" s="161"/>
      <c r="AK88" s="161"/>
    </row>
    <row r="89" spans="1:37">
      <c r="A89" s="1"/>
      <c r="B89" s="1"/>
      <c r="C89" s="1"/>
      <c r="D89" s="3"/>
      <c r="E89" s="3"/>
      <c r="F89" s="3"/>
      <c r="G89" s="3"/>
      <c r="H89" s="1"/>
      <c r="I89" s="1"/>
      <c r="J89" s="1"/>
      <c r="K89" s="1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1"/>
      <c r="AE89" s="1"/>
      <c r="AF89" s="1"/>
      <c r="AG89" s="1"/>
      <c r="AH89" s="1"/>
      <c r="AI89" s="89"/>
      <c r="AJ89" s="161"/>
      <c r="AK89" s="161"/>
    </row>
    <row r="90" spans="1:37">
      <c r="A90" s="1"/>
      <c r="B90" s="1"/>
      <c r="C90" s="1"/>
      <c r="D90" s="3"/>
      <c r="E90" s="3"/>
      <c r="F90" s="3"/>
      <c r="G90" s="3"/>
      <c r="H90" s="1"/>
      <c r="I90" s="1"/>
      <c r="J90" s="1"/>
      <c r="K90" s="1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1"/>
      <c r="AE90" s="1"/>
      <c r="AF90" s="1"/>
      <c r="AG90" s="1"/>
      <c r="AH90" s="1"/>
      <c r="AI90" s="89"/>
      <c r="AJ90" s="161"/>
      <c r="AK90" s="161"/>
    </row>
    <row r="91" spans="1:37">
      <c r="A91" s="1"/>
      <c r="B91" s="1"/>
      <c r="C91" s="1"/>
      <c r="D91" s="3"/>
      <c r="E91" s="3"/>
      <c r="F91" s="3"/>
      <c r="G91" s="3"/>
      <c r="H91" s="1"/>
      <c r="I91" s="1"/>
      <c r="J91" s="1"/>
      <c r="K91" s="1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1"/>
      <c r="AE91" s="1"/>
      <c r="AF91" s="1"/>
      <c r="AG91" s="1"/>
      <c r="AH91" s="1"/>
      <c r="AI91" s="89"/>
      <c r="AJ91" s="161"/>
      <c r="AK91" s="161"/>
    </row>
    <row r="92" spans="1:37">
      <c r="A92" s="1"/>
      <c r="B92" s="1"/>
      <c r="C92" s="1"/>
      <c r="D92" s="3"/>
      <c r="E92" s="3"/>
      <c r="F92" s="3"/>
      <c r="G92" s="3"/>
      <c r="H92" s="1"/>
      <c r="I92" s="1"/>
      <c r="J92" s="1"/>
      <c r="K92" s="1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1"/>
      <c r="AE92" s="1"/>
      <c r="AF92" s="1"/>
      <c r="AG92" s="1"/>
      <c r="AH92" s="1"/>
      <c r="AI92" s="89"/>
      <c r="AJ92" s="161"/>
      <c r="AK92" s="161"/>
    </row>
    <row r="93" spans="1:37">
      <c r="A93" s="1"/>
      <c r="B93" s="1"/>
      <c r="C93" s="1"/>
      <c r="D93" s="3"/>
      <c r="E93" s="3"/>
      <c r="F93" s="3"/>
      <c r="G93" s="3"/>
      <c r="H93" s="1"/>
      <c r="I93" s="1"/>
      <c r="J93" s="1"/>
      <c r="K93" s="1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1"/>
      <c r="AE93" s="1"/>
      <c r="AF93" s="1"/>
      <c r="AG93" s="1"/>
      <c r="AH93" s="1"/>
      <c r="AI93" s="89"/>
      <c r="AJ93" s="161"/>
      <c r="AK93" s="161"/>
    </row>
    <row r="94" spans="1:37">
      <c r="A94" s="1"/>
      <c r="B94" s="1"/>
      <c r="C94" s="1"/>
      <c r="D94" s="3"/>
      <c r="E94" s="3"/>
      <c r="F94" s="3"/>
      <c r="G94" s="3"/>
      <c r="H94" s="1"/>
      <c r="I94" s="1"/>
      <c r="J94" s="1"/>
      <c r="K94" s="1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1"/>
      <c r="AE94" s="1"/>
      <c r="AF94" s="1"/>
      <c r="AG94" s="1"/>
      <c r="AH94" s="1"/>
      <c r="AI94" s="89"/>
      <c r="AJ94" s="161"/>
      <c r="AK94" s="161"/>
    </row>
    <row r="95" spans="1:37">
      <c r="A95" s="1"/>
      <c r="B95" s="1"/>
      <c r="C95" s="1"/>
      <c r="D95" s="3"/>
      <c r="E95" s="3"/>
      <c r="F95" s="3"/>
      <c r="G95" s="3"/>
      <c r="H95" s="1"/>
      <c r="I95" s="1"/>
      <c r="J95" s="1"/>
      <c r="K95" s="1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1"/>
      <c r="AE95" s="1"/>
      <c r="AF95" s="1"/>
      <c r="AG95" s="1"/>
      <c r="AH95" s="1"/>
      <c r="AI95" s="89"/>
      <c r="AJ95" s="161"/>
      <c r="AK95" s="161"/>
    </row>
    <row r="96" spans="1:37">
      <c r="A96" s="1"/>
      <c r="B96" s="1"/>
      <c r="C96" s="1"/>
      <c r="D96" s="3"/>
      <c r="E96" s="3"/>
      <c r="F96" s="3"/>
      <c r="G96" s="3"/>
      <c r="H96" s="1"/>
      <c r="I96" s="1"/>
      <c r="J96" s="1"/>
      <c r="K96" s="1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1"/>
      <c r="AE96" s="1"/>
      <c r="AF96" s="1"/>
      <c r="AG96" s="1"/>
      <c r="AH96" s="1"/>
      <c r="AI96" s="89"/>
      <c r="AJ96" s="161"/>
      <c r="AK96" s="161"/>
    </row>
    <row r="97" spans="1:37">
      <c r="A97" s="1"/>
      <c r="B97" s="1"/>
      <c r="C97" s="1"/>
      <c r="D97" s="3"/>
      <c r="E97" s="3"/>
      <c r="F97" s="3"/>
      <c r="G97" s="3"/>
      <c r="H97" s="1"/>
      <c r="I97" s="1"/>
      <c r="J97" s="1"/>
      <c r="K97" s="1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1"/>
      <c r="AE97" s="1"/>
      <c r="AF97" s="1"/>
      <c r="AG97" s="1"/>
      <c r="AH97" s="1"/>
      <c r="AI97" s="89"/>
      <c r="AJ97" s="161"/>
      <c r="AK97" s="161"/>
    </row>
    <row r="98" spans="1:37">
      <c r="A98" s="1"/>
      <c r="B98" s="1"/>
      <c r="C98" s="1"/>
      <c r="D98" s="3"/>
      <c r="E98" s="3"/>
      <c r="F98" s="3"/>
      <c r="G98" s="3"/>
      <c r="H98" s="1"/>
      <c r="I98" s="1"/>
      <c r="J98" s="1"/>
      <c r="K98" s="1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1"/>
      <c r="AE98" s="1"/>
      <c r="AF98" s="1"/>
      <c r="AG98" s="1"/>
      <c r="AH98" s="1"/>
      <c r="AI98" s="89"/>
      <c r="AJ98" s="161"/>
      <c r="AK98" s="161"/>
    </row>
    <row r="99" spans="1:37">
      <c r="A99" s="1"/>
      <c r="B99" s="1"/>
      <c r="C99" s="1"/>
      <c r="D99" s="3"/>
      <c r="E99" s="3"/>
      <c r="F99" s="3"/>
      <c r="G99" s="3"/>
      <c r="H99" s="1"/>
      <c r="I99" s="1"/>
      <c r="J99" s="1"/>
      <c r="K99" s="1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1"/>
      <c r="AE99" s="1"/>
      <c r="AF99" s="1"/>
      <c r="AG99" s="1"/>
      <c r="AH99" s="1"/>
      <c r="AI99" s="89"/>
      <c r="AJ99" s="161"/>
      <c r="AK99" s="161"/>
    </row>
    <row r="100" spans="1:37">
      <c r="A100" s="1"/>
      <c r="B100" s="1"/>
      <c r="C100" s="1"/>
      <c r="D100" s="3"/>
      <c r="E100" s="3"/>
      <c r="F100" s="3"/>
      <c r="G100" s="3"/>
      <c r="H100" s="1"/>
      <c r="I100" s="1"/>
      <c r="J100" s="1"/>
      <c r="K100" s="1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1"/>
      <c r="AE100" s="1"/>
      <c r="AF100" s="1"/>
      <c r="AG100" s="1"/>
      <c r="AH100" s="1"/>
      <c r="AI100" s="89"/>
      <c r="AJ100" s="161"/>
      <c r="AK100" s="161"/>
    </row>
    <row r="101" spans="1:37">
      <c r="A101" s="1"/>
      <c r="B101" s="1"/>
      <c r="C101" s="1"/>
      <c r="D101" s="3"/>
      <c r="E101" s="3"/>
      <c r="F101" s="3"/>
      <c r="G101" s="3"/>
      <c r="H101" s="1"/>
      <c r="I101" s="1"/>
      <c r="J101" s="1"/>
      <c r="K101" s="1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1"/>
      <c r="AE101" s="1"/>
      <c r="AF101" s="1"/>
      <c r="AG101" s="1"/>
      <c r="AH101" s="1"/>
      <c r="AI101" s="89"/>
      <c r="AJ101" s="161"/>
      <c r="AK101" s="161"/>
    </row>
    <row r="102" spans="1:37">
      <c r="A102" s="1"/>
      <c r="B102" s="1"/>
      <c r="C102" s="1"/>
      <c r="D102" s="3"/>
      <c r="E102" s="3"/>
      <c r="F102" s="3"/>
      <c r="G102" s="3"/>
      <c r="H102" s="1"/>
      <c r="I102" s="1"/>
      <c r="J102" s="1"/>
      <c r="K102" s="1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1"/>
      <c r="AE102" s="1"/>
      <c r="AF102" s="1"/>
      <c r="AG102" s="1"/>
      <c r="AH102" s="1"/>
      <c r="AI102" s="89"/>
      <c r="AJ102" s="161"/>
      <c r="AK102" s="161"/>
    </row>
    <row r="103" spans="1:37">
      <c r="A103" s="1"/>
      <c r="B103" s="1"/>
      <c r="C103" s="1"/>
      <c r="D103" s="3"/>
      <c r="E103" s="3"/>
      <c r="F103" s="3"/>
      <c r="G103" s="3"/>
      <c r="H103" s="1"/>
      <c r="I103" s="1"/>
      <c r="J103" s="1"/>
      <c r="K103" s="1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1"/>
      <c r="AE103" s="1"/>
      <c r="AF103" s="1"/>
      <c r="AG103" s="1"/>
      <c r="AH103" s="1"/>
      <c r="AI103" s="89"/>
      <c r="AJ103" s="161"/>
      <c r="AK103" s="161"/>
    </row>
    <row r="104" spans="1:37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89"/>
      <c r="AJ104" s="161"/>
      <c r="AK104" s="161"/>
    </row>
    <row r="105" spans="1:37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89"/>
      <c r="AJ105" s="161"/>
      <c r="AK105" s="161"/>
    </row>
    <row r="106" spans="1:37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89"/>
      <c r="AJ106" s="161"/>
      <c r="AK106" s="161"/>
    </row>
    <row r="107" spans="1:37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89"/>
      <c r="AJ107" s="161"/>
      <c r="AK107" s="161"/>
    </row>
    <row r="108" spans="1:37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89"/>
      <c r="AJ108" s="161"/>
      <c r="AK108" s="161"/>
    </row>
    <row r="109" spans="1:37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89"/>
      <c r="AJ109" s="161"/>
      <c r="AK109" s="161"/>
    </row>
    <row r="110" spans="1:37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89"/>
      <c r="AJ110" s="161"/>
      <c r="AK110" s="161"/>
    </row>
    <row r="111" spans="1:37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89"/>
      <c r="AJ111" s="161"/>
      <c r="AK111" s="161"/>
    </row>
    <row r="112" spans="1:37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89"/>
      <c r="AJ112" s="161"/>
      <c r="AK112" s="161"/>
    </row>
    <row r="113" spans="1:37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89"/>
      <c r="AJ113" s="161"/>
      <c r="AK113" s="161"/>
    </row>
    <row r="114" spans="1:37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89"/>
      <c r="AJ114" s="161"/>
      <c r="AK114" s="161"/>
    </row>
    <row r="115" spans="1:37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89"/>
      <c r="AJ115" s="161"/>
      <c r="AK115" s="161"/>
    </row>
    <row r="116" spans="1:37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89"/>
      <c r="AJ116" s="161"/>
      <c r="AK116" s="161"/>
    </row>
    <row r="117" spans="1:37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89"/>
      <c r="AJ117" s="161"/>
      <c r="AK117" s="161"/>
    </row>
    <row r="118" spans="1:37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89"/>
      <c r="AJ118" s="161"/>
      <c r="AK118" s="161"/>
    </row>
    <row r="119" spans="1:37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89"/>
      <c r="AJ119" s="161"/>
      <c r="AK119" s="161"/>
    </row>
    <row r="120" spans="1:37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89"/>
      <c r="AJ120" s="161"/>
      <c r="AK120" s="161"/>
    </row>
    <row r="121" spans="1:37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89"/>
      <c r="AJ121" s="161"/>
      <c r="AK121" s="161"/>
    </row>
    <row r="122" spans="1:37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89"/>
      <c r="AJ122" s="161"/>
      <c r="AK122" s="161"/>
    </row>
    <row r="123" spans="1:37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89"/>
      <c r="AJ123" s="161"/>
      <c r="AK123" s="161"/>
    </row>
    <row r="124" spans="1:37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89"/>
      <c r="AJ124" s="161"/>
      <c r="AK124" s="161"/>
    </row>
    <row r="125" spans="1:37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89"/>
      <c r="AJ125" s="161"/>
      <c r="AK125" s="161"/>
    </row>
    <row r="126" spans="1:37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89"/>
      <c r="AJ126" s="161"/>
      <c r="AK126" s="161"/>
    </row>
    <row r="127" spans="1:37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89"/>
      <c r="AJ127" s="161"/>
      <c r="AK127" s="161"/>
    </row>
    <row r="128" spans="1:37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89"/>
      <c r="AJ128" s="161"/>
      <c r="AK128" s="161"/>
    </row>
    <row r="129" spans="1:37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89"/>
      <c r="AJ129" s="161"/>
      <c r="AK129" s="161"/>
    </row>
    <row r="130" spans="1:37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89"/>
      <c r="AJ130" s="161"/>
      <c r="AK130" s="161"/>
    </row>
    <row r="131" spans="1:37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89"/>
      <c r="AJ131" s="161"/>
      <c r="AK131" s="161"/>
    </row>
    <row r="132" spans="1:37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89"/>
      <c r="AJ132" s="161"/>
      <c r="AK132" s="161"/>
    </row>
    <row r="133" spans="1:37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89"/>
      <c r="AJ133" s="161"/>
      <c r="AK133" s="161"/>
    </row>
    <row r="134" spans="1:37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89"/>
      <c r="AJ134" s="161"/>
      <c r="AK134" s="161"/>
    </row>
    <row r="135" spans="1:37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89"/>
      <c r="AJ135" s="161"/>
      <c r="AK135" s="161"/>
    </row>
    <row r="136" spans="1:37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89"/>
      <c r="AJ136" s="161"/>
      <c r="AK136" s="161"/>
    </row>
    <row r="137" spans="1:37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89"/>
      <c r="AJ137" s="161"/>
      <c r="AK137" s="161"/>
    </row>
    <row r="138" spans="1:37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89"/>
      <c r="AJ138" s="161"/>
      <c r="AK138" s="161"/>
    </row>
    <row r="139" spans="1:37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89"/>
      <c r="AJ139" s="161"/>
      <c r="AK139" s="161"/>
    </row>
    <row r="140" spans="1:37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89"/>
      <c r="AJ140" s="161"/>
      <c r="AK140" s="161"/>
    </row>
    <row r="141" spans="1:37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89"/>
      <c r="AJ141" s="161"/>
      <c r="AK141" s="161"/>
    </row>
    <row r="142" spans="1:37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89"/>
      <c r="AJ142" s="161"/>
      <c r="AK142" s="161"/>
    </row>
    <row r="143" spans="1:37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89"/>
      <c r="AJ143" s="161"/>
      <c r="AK143" s="161"/>
    </row>
    <row r="144" spans="1:37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89"/>
      <c r="AJ144" s="161"/>
      <c r="AK144" s="161"/>
    </row>
    <row r="145" spans="1:37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89"/>
      <c r="AJ145" s="161"/>
      <c r="AK145" s="161"/>
    </row>
    <row r="146" spans="1:37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89"/>
      <c r="AJ146" s="161"/>
      <c r="AK146" s="161"/>
    </row>
    <row r="147" spans="1:37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89"/>
      <c r="AJ147" s="161"/>
      <c r="AK147" s="161"/>
    </row>
    <row r="148" spans="1:37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89"/>
      <c r="AJ148" s="161"/>
      <c r="AK148" s="161"/>
    </row>
    <row r="149" spans="1:37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89"/>
      <c r="AJ149" s="161"/>
      <c r="AK149" s="161"/>
    </row>
    <row r="150" spans="1:37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89"/>
      <c r="AJ150" s="161"/>
      <c r="AK150" s="161"/>
    </row>
    <row r="151" spans="1:37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89"/>
      <c r="AJ151" s="161"/>
      <c r="AK151" s="161"/>
    </row>
    <row r="152" spans="1:37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89"/>
      <c r="AJ152" s="161"/>
      <c r="AK152" s="161"/>
    </row>
    <row r="153" spans="1:37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89"/>
      <c r="AJ153" s="161"/>
      <c r="AK153" s="161"/>
    </row>
    <row r="154" spans="1:37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89"/>
      <c r="AJ154" s="161"/>
      <c r="AK154" s="161"/>
    </row>
    <row r="155" spans="1:37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89"/>
      <c r="AJ155" s="161"/>
      <c r="AK155" s="161"/>
    </row>
    <row r="156" spans="1:37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89"/>
      <c r="AJ156" s="161"/>
      <c r="AK156" s="161"/>
    </row>
    <row r="157" spans="1:37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89"/>
      <c r="AJ157" s="161"/>
      <c r="AK157" s="161"/>
    </row>
    <row r="158" spans="1:37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89"/>
      <c r="AJ158" s="161"/>
      <c r="AK158" s="161"/>
    </row>
    <row r="159" spans="1:37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89"/>
      <c r="AJ159" s="161"/>
      <c r="AK159" s="161"/>
    </row>
    <row r="160" spans="1:37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89"/>
      <c r="AJ160" s="161"/>
      <c r="AK160" s="161"/>
    </row>
    <row r="161" spans="1:37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89"/>
      <c r="AJ161" s="161"/>
      <c r="AK161" s="161"/>
    </row>
    <row r="162" spans="1:37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89"/>
      <c r="AJ162" s="161"/>
      <c r="AK162" s="161"/>
    </row>
    <row r="163" spans="1:37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89"/>
      <c r="AJ163" s="161"/>
      <c r="AK163" s="161"/>
    </row>
    <row r="164" spans="1:37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89"/>
      <c r="AJ164" s="161"/>
      <c r="AK164" s="161"/>
    </row>
    <row r="165" spans="1:37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89"/>
      <c r="AJ165" s="161"/>
      <c r="AK165" s="161"/>
    </row>
    <row r="166" spans="1:37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89"/>
      <c r="AJ166" s="161"/>
      <c r="AK166" s="161"/>
    </row>
    <row r="167" spans="1:37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89"/>
      <c r="AJ167" s="161"/>
      <c r="AK167" s="161"/>
    </row>
    <row r="168" spans="1:37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89"/>
      <c r="AJ168" s="161"/>
      <c r="AK168" s="161"/>
    </row>
    <row r="169" spans="1:37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89"/>
      <c r="AJ169" s="161"/>
      <c r="AK169" s="161"/>
    </row>
    <row r="170" spans="1:37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89"/>
      <c r="AJ170" s="161"/>
      <c r="AK170" s="161"/>
    </row>
    <row r="171" spans="1:37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89"/>
      <c r="AJ171" s="161"/>
      <c r="AK171" s="161"/>
    </row>
    <row r="172" spans="1:37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89"/>
      <c r="AJ172" s="161"/>
      <c r="AK172" s="161"/>
    </row>
    <row r="173" spans="1:37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89"/>
      <c r="AJ173" s="161"/>
      <c r="AK173" s="161"/>
    </row>
    <row r="174" spans="1:37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89"/>
      <c r="AJ174" s="161"/>
      <c r="AK174" s="161"/>
    </row>
    <row r="175" spans="1:37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89"/>
      <c r="AJ175" s="161"/>
      <c r="AK175" s="161"/>
    </row>
    <row r="176" spans="1:37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89"/>
      <c r="AJ176" s="161"/>
      <c r="AK176" s="161"/>
    </row>
    <row r="177" spans="1:37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89"/>
      <c r="AJ177" s="161"/>
      <c r="AK177" s="161"/>
    </row>
    <row r="178" spans="1:37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89"/>
      <c r="AJ178" s="161"/>
      <c r="AK178" s="161"/>
    </row>
    <row r="179" spans="1:37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89"/>
      <c r="AJ179" s="161"/>
      <c r="AK179" s="161"/>
    </row>
    <row r="180" spans="1:37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89"/>
      <c r="AJ180" s="161"/>
      <c r="AK180" s="161"/>
    </row>
    <row r="181" spans="1:37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89"/>
      <c r="AJ181" s="161"/>
      <c r="AK181" s="161"/>
    </row>
    <row r="182" spans="1:37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89"/>
      <c r="AJ182" s="161"/>
      <c r="AK182" s="161"/>
    </row>
    <row r="183" spans="1:37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89"/>
      <c r="AJ183" s="161"/>
      <c r="AK183" s="161"/>
    </row>
    <row r="184" spans="1:37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89"/>
      <c r="AJ184" s="161"/>
      <c r="AK184" s="161"/>
    </row>
    <row r="185" spans="1:37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89"/>
      <c r="AJ185" s="161"/>
      <c r="AK185" s="161"/>
    </row>
    <row r="186" spans="1:37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89"/>
      <c r="AJ186" s="161"/>
      <c r="AK186" s="161"/>
    </row>
    <row r="187" spans="1:37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89"/>
      <c r="AJ187" s="161"/>
      <c r="AK187" s="161"/>
    </row>
    <row r="188" spans="1:37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89"/>
      <c r="AJ188" s="161"/>
      <c r="AK188" s="161"/>
    </row>
    <row r="189" spans="1:37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89"/>
      <c r="AJ189" s="161"/>
      <c r="AK189" s="161"/>
    </row>
    <row r="190" spans="1:37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89"/>
      <c r="AJ190" s="161"/>
      <c r="AK190" s="161"/>
    </row>
    <row r="191" spans="1:37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89"/>
      <c r="AJ191" s="161"/>
      <c r="AK191" s="161"/>
    </row>
    <row r="192" spans="1:37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89"/>
      <c r="AJ192" s="161"/>
      <c r="AK192" s="161"/>
    </row>
    <row r="193" spans="1:37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89"/>
      <c r="AJ193" s="161"/>
      <c r="AK193" s="161"/>
    </row>
    <row r="194" spans="1:37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89"/>
      <c r="AJ194" s="161"/>
      <c r="AK194" s="161"/>
    </row>
    <row r="195" spans="1:37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89"/>
      <c r="AJ195" s="161"/>
      <c r="AK195" s="161"/>
    </row>
    <row r="196" spans="1:37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89"/>
      <c r="AJ196" s="161"/>
      <c r="AK196" s="161"/>
    </row>
    <row r="197" spans="1:37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89"/>
      <c r="AJ197" s="161"/>
      <c r="AK197" s="161"/>
    </row>
    <row r="198" spans="1:37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89"/>
      <c r="AJ198" s="161"/>
      <c r="AK198" s="161"/>
    </row>
    <row r="199" spans="1:37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89"/>
      <c r="AJ199" s="161"/>
      <c r="AK199" s="161"/>
    </row>
    <row r="200" spans="1:37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89"/>
      <c r="AJ200" s="161"/>
      <c r="AK200" s="161"/>
    </row>
    <row r="201" spans="1:37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89"/>
      <c r="AJ201" s="161"/>
      <c r="AK201" s="161"/>
    </row>
    <row r="202" spans="1:37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89"/>
      <c r="AJ202" s="161"/>
      <c r="AK202" s="161"/>
    </row>
    <row r="203" spans="1:37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89"/>
      <c r="AJ203" s="161"/>
      <c r="AK203" s="161"/>
    </row>
    <row r="204" spans="1:37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89"/>
      <c r="AJ204" s="161"/>
      <c r="AK204" s="161"/>
    </row>
    <row r="205" spans="1:37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89"/>
      <c r="AJ205" s="161"/>
      <c r="AK205" s="161"/>
    </row>
    <row r="206" spans="1:37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89"/>
      <c r="AJ206" s="161"/>
      <c r="AK206" s="161"/>
    </row>
    <row r="207" spans="1:37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89"/>
      <c r="AJ207" s="161"/>
      <c r="AK207" s="161"/>
    </row>
    <row r="208" spans="1:37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89"/>
      <c r="AJ208" s="161"/>
      <c r="AK208" s="161"/>
    </row>
    <row r="209" spans="1:37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89"/>
      <c r="AJ209" s="161"/>
      <c r="AK209" s="161"/>
    </row>
    <row r="210" spans="1:37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89"/>
      <c r="AJ210" s="161"/>
      <c r="AK210" s="161"/>
    </row>
    <row r="211" spans="1:37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89"/>
      <c r="AJ211" s="161"/>
      <c r="AK211" s="161"/>
    </row>
    <row r="212" spans="1:37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89"/>
      <c r="AJ212" s="161"/>
      <c r="AK212" s="161"/>
    </row>
    <row r="213" spans="1:37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89"/>
      <c r="AJ213" s="161"/>
      <c r="AK213" s="161"/>
    </row>
    <row r="214" spans="1:37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89"/>
      <c r="AJ214" s="161"/>
      <c r="AK214" s="161"/>
    </row>
    <row r="215" spans="1:37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89"/>
      <c r="AJ215" s="161"/>
      <c r="AK215" s="161"/>
    </row>
    <row r="216" spans="1:37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89"/>
      <c r="AJ216" s="161"/>
      <c r="AK216" s="161"/>
    </row>
    <row r="217" spans="1:37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89"/>
      <c r="AJ217" s="161"/>
      <c r="AK217" s="161"/>
    </row>
    <row r="218" spans="1:37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89"/>
      <c r="AJ218" s="161"/>
      <c r="AK218" s="161"/>
    </row>
    <row r="219" spans="1:37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89"/>
      <c r="AJ219" s="161"/>
      <c r="AK219" s="161"/>
    </row>
    <row r="220" spans="1:37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89"/>
      <c r="AJ220" s="161"/>
      <c r="AK220" s="161"/>
    </row>
    <row r="221" spans="1:37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89"/>
      <c r="AJ221" s="161"/>
      <c r="AK221" s="161"/>
    </row>
    <row r="222" spans="1:37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89"/>
      <c r="AJ222" s="161"/>
      <c r="AK222" s="161"/>
    </row>
    <row r="223" spans="1:37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89"/>
      <c r="AJ223" s="161"/>
      <c r="AK223" s="161"/>
    </row>
    <row r="224" spans="1:37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89"/>
      <c r="AJ224" s="161"/>
      <c r="AK224" s="161"/>
    </row>
    <row r="225" spans="1:37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89"/>
      <c r="AJ225" s="161"/>
      <c r="AK225" s="161"/>
    </row>
    <row r="226" spans="1:37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89"/>
      <c r="AJ226" s="161"/>
      <c r="AK226" s="161"/>
    </row>
    <row r="227" spans="1:37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89"/>
      <c r="AJ227" s="161"/>
      <c r="AK227" s="161"/>
    </row>
    <row r="228" spans="1:37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89"/>
      <c r="AJ228" s="161"/>
      <c r="AK228" s="161"/>
    </row>
    <row r="229" spans="1:37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89"/>
      <c r="AJ229" s="161"/>
      <c r="AK229" s="161"/>
    </row>
    <row r="230" spans="1:37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89"/>
      <c r="AJ230" s="161"/>
      <c r="AK230" s="161"/>
    </row>
    <row r="231" spans="1:37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89"/>
      <c r="AJ231" s="161"/>
      <c r="AK231" s="161"/>
    </row>
    <row r="232" spans="1:37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89"/>
      <c r="AJ232" s="161"/>
      <c r="AK232" s="161"/>
    </row>
    <row r="233" spans="1:37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89"/>
      <c r="AJ233" s="161"/>
      <c r="AK233" s="161"/>
    </row>
    <row r="234" spans="1:37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89"/>
      <c r="AJ234" s="161"/>
      <c r="AK234" s="161"/>
    </row>
    <row r="235" spans="1:37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89"/>
      <c r="AJ235" s="161"/>
      <c r="AK235" s="161"/>
    </row>
    <row r="236" spans="1:37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89"/>
      <c r="AJ236" s="161"/>
      <c r="AK236" s="161"/>
    </row>
    <row r="237" spans="1:37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89"/>
      <c r="AJ237" s="161"/>
      <c r="AK237" s="161"/>
    </row>
    <row r="238" spans="1:37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89"/>
      <c r="AJ238" s="161"/>
      <c r="AK238" s="161"/>
    </row>
    <row r="239" spans="1:37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89"/>
      <c r="AJ239" s="161"/>
      <c r="AK239" s="161"/>
    </row>
    <row r="240" spans="1:37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89"/>
      <c r="AJ240" s="161"/>
      <c r="AK240" s="161"/>
    </row>
    <row r="241" spans="1:37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89"/>
      <c r="AJ241" s="161"/>
      <c r="AK241" s="161"/>
    </row>
    <row r="242" spans="1:37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89"/>
      <c r="AJ242" s="161"/>
      <c r="AK242" s="161"/>
    </row>
    <row r="243" spans="1:37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89"/>
      <c r="AJ243" s="161"/>
      <c r="AK243" s="161"/>
    </row>
    <row r="244" spans="1:37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89"/>
      <c r="AJ244" s="161"/>
      <c r="AK244" s="161"/>
    </row>
    <row r="245" spans="1:37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89"/>
      <c r="AJ245" s="161"/>
      <c r="AK245" s="161"/>
    </row>
    <row r="246" spans="1:37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89"/>
      <c r="AJ246" s="161"/>
      <c r="AK246" s="161"/>
    </row>
    <row r="247" spans="1:37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89"/>
      <c r="AJ247" s="161"/>
      <c r="AK247" s="161"/>
    </row>
    <row r="248" spans="1:37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89"/>
      <c r="AJ248" s="161"/>
      <c r="AK248" s="161"/>
    </row>
    <row r="249" spans="1:37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89"/>
      <c r="AJ249" s="161"/>
      <c r="AK249" s="161"/>
    </row>
    <row r="250" spans="1:37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89"/>
      <c r="AJ250" s="161"/>
      <c r="AK250" s="161"/>
    </row>
    <row r="251" spans="1:37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89"/>
      <c r="AJ251" s="161"/>
      <c r="AK251" s="161"/>
    </row>
    <row r="252" spans="1:37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89"/>
      <c r="AJ252" s="161"/>
      <c r="AK252" s="161"/>
    </row>
    <row r="253" spans="1:37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89"/>
      <c r="AJ253" s="161"/>
      <c r="AK253" s="161"/>
    </row>
    <row r="254" spans="1:37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89"/>
      <c r="AJ254" s="161"/>
      <c r="AK254" s="161"/>
    </row>
    <row r="255" spans="1:37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89"/>
      <c r="AJ255" s="161"/>
      <c r="AK255" s="161"/>
    </row>
    <row r="256" spans="1:37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89"/>
      <c r="AJ256" s="161"/>
      <c r="AK256" s="161"/>
    </row>
    <row r="257" spans="1:37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89"/>
      <c r="AJ257" s="161"/>
      <c r="AK257" s="161"/>
    </row>
    <row r="258" spans="1:37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89"/>
      <c r="AJ258" s="161"/>
      <c r="AK258" s="161"/>
    </row>
    <row r="259" spans="1:37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89"/>
      <c r="AJ259" s="161"/>
      <c r="AK259" s="161"/>
    </row>
    <row r="260" spans="1:37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89"/>
      <c r="AJ260" s="161"/>
      <c r="AK260" s="161"/>
    </row>
    <row r="261" spans="1:37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89"/>
      <c r="AJ261" s="161"/>
      <c r="AK261" s="161"/>
    </row>
    <row r="262" spans="1:37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89"/>
      <c r="AJ262" s="161"/>
      <c r="AK262" s="161"/>
    </row>
    <row r="263" spans="1:37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89"/>
      <c r="AJ263" s="161"/>
      <c r="AK263" s="161"/>
    </row>
    <row r="264" spans="1:37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89"/>
      <c r="AJ264" s="161"/>
      <c r="AK264" s="161"/>
    </row>
    <row r="265" spans="1:37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89"/>
      <c r="AJ265" s="161"/>
      <c r="AK265" s="161"/>
    </row>
    <row r="266" spans="1:37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89"/>
      <c r="AJ266" s="161"/>
      <c r="AK266" s="161"/>
    </row>
    <row r="267" spans="1:37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89"/>
      <c r="AJ267" s="161"/>
      <c r="AK267" s="161"/>
    </row>
    <row r="268" spans="1:37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89"/>
      <c r="AJ268" s="161"/>
      <c r="AK268" s="161"/>
    </row>
    <row r="269" spans="1:37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89"/>
      <c r="AJ269" s="161"/>
      <c r="AK269" s="161"/>
    </row>
    <row r="270" spans="1:37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89"/>
      <c r="AJ270" s="161"/>
      <c r="AK270" s="161"/>
    </row>
    <row r="271" spans="1:37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89"/>
      <c r="AJ271" s="161"/>
      <c r="AK271" s="161"/>
    </row>
    <row r="272" spans="1:37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89"/>
      <c r="AJ272" s="161"/>
      <c r="AK272" s="161"/>
    </row>
    <row r="273" spans="1:37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89"/>
      <c r="AJ273" s="161"/>
      <c r="AK273" s="161"/>
    </row>
    <row r="274" spans="1:37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89"/>
      <c r="AJ274" s="161"/>
      <c r="AK274" s="161"/>
    </row>
    <row r="275" spans="1:37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89"/>
      <c r="AJ275" s="161"/>
      <c r="AK275" s="161"/>
    </row>
    <row r="276" spans="1:37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89"/>
      <c r="AJ276" s="161"/>
      <c r="AK276" s="161"/>
    </row>
    <row r="277" spans="1:37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89"/>
      <c r="AJ277" s="161"/>
      <c r="AK277" s="161"/>
    </row>
    <row r="278" spans="1:37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89"/>
      <c r="AJ278" s="161"/>
      <c r="AK278" s="161"/>
    </row>
    <row r="279" spans="1:37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89"/>
      <c r="AJ279" s="161"/>
      <c r="AK279" s="161"/>
    </row>
    <row r="280" spans="1:37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89"/>
      <c r="AJ280" s="161"/>
      <c r="AK280" s="161"/>
    </row>
    <row r="281" spans="1:37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89"/>
      <c r="AJ281" s="161"/>
      <c r="AK281" s="161"/>
    </row>
    <row r="282" spans="1:37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89"/>
      <c r="AJ282" s="161"/>
      <c r="AK282" s="161"/>
    </row>
    <row r="283" spans="1:37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89"/>
      <c r="AJ283" s="161"/>
      <c r="AK283" s="161"/>
    </row>
    <row r="284" spans="1:37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89"/>
      <c r="AJ284" s="161"/>
      <c r="AK284" s="161"/>
    </row>
    <row r="285" spans="1:37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89"/>
      <c r="AJ285" s="161"/>
      <c r="AK285" s="161"/>
    </row>
    <row r="286" spans="1:37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89"/>
      <c r="AJ286" s="161"/>
      <c r="AK286" s="161"/>
    </row>
    <row r="287" spans="1:37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89"/>
      <c r="AJ287" s="161"/>
      <c r="AK287" s="161"/>
    </row>
    <row r="288" spans="1:37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89"/>
      <c r="AJ288" s="161"/>
      <c r="AK288" s="161"/>
    </row>
    <row r="289" spans="1:37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89"/>
      <c r="AJ289" s="161"/>
      <c r="AK289" s="161"/>
    </row>
    <row r="290" spans="1:37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89"/>
      <c r="AJ290" s="161"/>
      <c r="AK290" s="161"/>
    </row>
    <row r="291" spans="1:37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89"/>
      <c r="AJ291" s="161"/>
      <c r="AK291" s="161"/>
    </row>
    <row r="292" spans="1:37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89"/>
      <c r="AJ292" s="161"/>
      <c r="AK292" s="161"/>
    </row>
    <row r="293" spans="1:37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89"/>
      <c r="AJ293" s="161"/>
      <c r="AK293" s="161"/>
    </row>
    <row r="294" spans="1:37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89"/>
      <c r="AJ294" s="161"/>
      <c r="AK294" s="161"/>
    </row>
    <row r="295" spans="1:37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89"/>
      <c r="AJ295" s="161"/>
      <c r="AK295" s="161"/>
    </row>
    <row r="296" spans="1:37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89"/>
      <c r="AJ296" s="161"/>
      <c r="AK296" s="161"/>
    </row>
    <row r="297" spans="1:37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89"/>
      <c r="AJ297" s="161"/>
      <c r="AK297" s="161"/>
    </row>
    <row r="298" spans="1:37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89"/>
      <c r="AJ298" s="161"/>
      <c r="AK298" s="161"/>
    </row>
    <row r="299" spans="1:37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89"/>
      <c r="AJ299" s="161"/>
      <c r="AK299" s="161"/>
    </row>
    <row r="300" spans="1:37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89"/>
      <c r="AJ300" s="161"/>
      <c r="AK300" s="161"/>
    </row>
    <row r="301" spans="1:37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89"/>
      <c r="AJ301" s="161"/>
      <c r="AK301" s="161"/>
    </row>
    <row r="302" spans="1:37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89"/>
      <c r="AJ302" s="161"/>
      <c r="AK302" s="161"/>
    </row>
    <row r="303" spans="1:37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89"/>
      <c r="AJ303" s="161"/>
      <c r="AK303" s="161"/>
    </row>
    <row r="304" spans="1:37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89"/>
      <c r="AJ304" s="161"/>
      <c r="AK304" s="161"/>
    </row>
    <row r="305" spans="1:37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89"/>
      <c r="AJ305" s="161"/>
      <c r="AK305" s="161"/>
    </row>
    <row r="306" spans="1:37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89"/>
      <c r="AJ306" s="161"/>
      <c r="AK306" s="161"/>
    </row>
    <row r="307" spans="1:37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89"/>
      <c r="AJ307" s="161"/>
      <c r="AK307" s="161"/>
    </row>
    <row r="308" spans="1:37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89"/>
      <c r="AJ308" s="161"/>
      <c r="AK308" s="161"/>
    </row>
    <row r="309" spans="1:37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89"/>
      <c r="AJ309" s="161"/>
      <c r="AK309" s="161"/>
    </row>
    <row r="310" spans="1:37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89"/>
      <c r="AJ310" s="161"/>
      <c r="AK310" s="161"/>
    </row>
    <row r="311" spans="1:37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89"/>
      <c r="AJ311" s="161"/>
      <c r="AK311" s="161"/>
    </row>
    <row r="312" spans="1:37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89"/>
      <c r="AJ312" s="161"/>
      <c r="AK312" s="161"/>
    </row>
    <row r="313" spans="1:37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89"/>
      <c r="AJ313" s="161"/>
      <c r="AK313" s="161"/>
    </row>
    <row r="314" spans="1:37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89"/>
      <c r="AJ314" s="161"/>
      <c r="AK314" s="161"/>
    </row>
    <row r="315" spans="1:37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89"/>
      <c r="AJ315" s="161"/>
      <c r="AK315" s="161"/>
    </row>
    <row r="316" spans="1:37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89"/>
      <c r="AJ316" s="161"/>
      <c r="AK316" s="161"/>
    </row>
    <row r="317" spans="1:37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89"/>
      <c r="AJ317" s="161"/>
      <c r="AK317" s="161"/>
    </row>
    <row r="318" spans="1:37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89"/>
      <c r="AJ318" s="161"/>
      <c r="AK318" s="161"/>
    </row>
    <row r="319" spans="1:37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89"/>
      <c r="AJ319" s="161"/>
      <c r="AK319" s="161"/>
    </row>
    <row r="320" spans="1:37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89"/>
      <c r="AJ320" s="161"/>
      <c r="AK320" s="161"/>
    </row>
    <row r="321" spans="1:37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89"/>
      <c r="AJ321" s="161"/>
      <c r="AK321" s="161"/>
    </row>
    <row r="322" spans="1:37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89"/>
      <c r="AJ322" s="161"/>
      <c r="AK322" s="161"/>
    </row>
    <row r="323" spans="1:37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89"/>
      <c r="AJ323" s="161"/>
      <c r="AK323" s="161"/>
    </row>
    <row r="324" spans="1:37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89"/>
      <c r="AJ324" s="161"/>
      <c r="AK324" s="161"/>
    </row>
    <row r="325" spans="1:37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89"/>
      <c r="AJ325" s="161"/>
      <c r="AK325" s="161"/>
    </row>
    <row r="326" spans="1:37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89"/>
      <c r="AJ326" s="161"/>
      <c r="AK326" s="161"/>
    </row>
    <row r="327" spans="1:37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89"/>
      <c r="AJ327" s="161"/>
      <c r="AK327" s="161"/>
    </row>
    <row r="328" spans="1:37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89"/>
      <c r="AJ328" s="161"/>
      <c r="AK328" s="161"/>
    </row>
    <row r="329" spans="1:37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89"/>
      <c r="AJ329" s="161"/>
      <c r="AK329" s="161"/>
    </row>
    <row r="330" spans="1:37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89"/>
      <c r="AJ330" s="161"/>
      <c r="AK330" s="161"/>
    </row>
    <row r="331" spans="1:37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89"/>
      <c r="AJ331" s="161"/>
      <c r="AK331" s="161"/>
    </row>
    <row r="332" spans="1:37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89"/>
      <c r="AJ332" s="161"/>
      <c r="AK332" s="161"/>
    </row>
    <row r="333" spans="1:37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89"/>
      <c r="AJ333" s="161"/>
      <c r="AK333" s="161"/>
    </row>
    <row r="334" spans="1:37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89"/>
      <c r="AJ334" s="161"/>
      <c r="AK334" s="161"/>
    </row>
    <row r="335" spans="1:37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89"/>
      <c r="AJ335" s="161"/>
      <c r="AK335" s="161"/>
    </row>
    <row r="336" spans="1:37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89"/>
      <c r="AJ336" s="161"/>
      <c r="AK336" s="161"/>
    </row>
    <row r="337" spans="1:37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89"/>
      <c r="AJ337" s="161"/>
      <c r="AK337" s="161"/>
    </row>
    <row r="338" spans="1:37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89"/>
      <c r="AJ338" s="161"/>
      <c r="AK338" s="161"/>
    </row>
    <row r="339" spans="1:37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89"/>
      <c r="AJ339" s="161"/>
      <c r="AK339" s="161"/>
    </row>
    <row r="340" spans="1:37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89"/>
      <c r="AJ340" s="161"/>
      <c r="AK340" s="161"/>
    </row>
    <row r="341" spans="1:37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89"/>
      <c r="AJ341" s="161"/>
      <c r="AK341" s="161"/>
    </row>
    <row r="342" spans="1:37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89"/>
      <c r="AJ342" s="161"/>
      <c r="AK342" s="161"/>
    </row>
    <row r="343" spans="1:37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89"/>
      <c r="AJ343" s="161"/>
      <c r="AK343" s="161"/>
    </row>
    <row r="344" spans="1:37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89"/>
      <c r="AJ344" s="161"/>
      <c r="AK344" s="161"/>
    </row>
    <row r="345" spans="1:37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89"/>
      <c r="AJ345" s="161"/>
      <c r="AK345" s="161"/>
    </row>
    <row r="346" spans="1:37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89"/>
      <c r="AJ346" s="161"/>
      <c r="AK346" s="161"/>
    </row>
    <row r="347" spans="1:37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89"/>
      <c r="AJ347" s="161"/>
      <c r="AK347" s="161"/>
    </row>
    <row r="348" spans="1:37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89"/>
      <c r="AJ348" s="161"/>
      <c r="AK348" s="161"/>
    </row>
    <row r="349" spans="1:37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89"/>
      <c r="AJ349" s="161"/>
      <c r="AK349" s="161"/>
    </row>
    <row r="350" spans="1:37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89"/>
      <c r="AJ350" s="161"/>
      <c r="AK350" s="161"/>
    </row>
    <row r="351" spans="1:37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89"/>
      <c r="AJ351" s="161"/>
      <c r="AK351" s="161"/>
    </row>
    <row r="352" spans="1:37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89"/>
      <c r="AJ352" s="161"/>
      <c r="AK352" s="161"/>
    </row>
    <row r="353" spans="1:37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89"/>
      <c r="AJ353" s="161"/>
      <c r="AK353" s="161"/>
    </row>
    <row r="354" spans="1:37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89"/>
      <c r="AJ354" s="161"/>
      <c r="AK354" s="161"/>
    </row>
    <row r="355" spans="1:37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89"/>
      <c r="AJ355" s="161"/>
      <c r="AK355" s="161"/>
    </row>
    <row r="356" spans="1:37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89"/>
      <c r="AJ356" s="161"/>
      <c r="AK356" s="161"/>
    </row>
    <row r="357" spans="1:37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89"/>
      <c r="AJ357" s="161"/>
      <c r="AK357" s="161"/>
    </row>
    <row r="358" spans="1:37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89"/>
      <c r="AJ358" s="161"/>
      <c r="AK358" s="161"/>
    </row>
    <row r="359" spans="1:37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89"/>
      <c r="AJ359" s="161"/>
      <c r="AK359" s="161"/>
    </row>
    <row r="360" spans="1:37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89"/>
      <c r="AJ360" s="161"/>
      <c r="AK360" s="161"/>
    </row>
    <row r="361" spans="1:37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89"/>
      <c r="AJ361" s="161"/>
      <c r="AK361" s="161"/>
    </row>
    <row r="362" spans="1:37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89"/>
      <c r="AJ362" s="161"/>
      <c r="AK362" s="161"/>
    </row>
    <row r="363" spans="1:37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89"/>
      <c r="AJ363" s="161"/>
      <c r="AK363" s="161"/>
    </row>
    <row r="364" spans="1:37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89"/>
      <c r="AJ364" s="161"/>
      <c r="AK364" s="161"/>
    </row>
    <row r="365" spans="1:37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89"/>
      <c r="AJ365" s="161"/>
      <c r="AK365" s="161"/>
    </row>
    <row r="366" spans="1:37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89"/>
      <c r="AJ366" s="161"/>
      <c r="AK366" s="161"/>
    </row>
    <row r="367" spans="1:37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89"/>
      <c r="AJ367" s="161"/>
      <c r="AK367" s="161"/>
    </row>
    <row r="368" spans="1:37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89"/>
      <c r="AJ368" s="161"/>
      <c r="AK368" s="161"/>
    </row>
    <row r="369" spans="1:37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89"/>
      <c r="AJ369" s="161"/>
      <c r="AK369" s="161"/>
    </row>
    <row r="370" spans="1:37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89"/>
      <c r="AJ370" s="161"/>
      <c r="AK370" s="161"/>
    </row>
    <row r="371" spans="1:37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89"/>
      <c r="AJ371" s="161"/>
      <c r="AK371" s="161"/>
    </row>
    <row r="372" spans="1:37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89"/>
      <c r="AJ372" s="161"/>
      <c r="AK372" s="161"/>
    </row>
    <row r="373" spans="1:37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89"/>
      <c r="AJ373" s="161"/>
      <c r="AK373" s="161"/>
    </row>
    <row r="374" spans="1:37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89"/>
      <c r="AJ374" s="161"/>
      <c r="AK374" s="161"/>
    </row>
    <row r="375" spans="1:37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89"/>
      <c r="AJ375" s="161"/>
      <c r="AK375" s="161"/>
    </row>
    <row r="376" spans="1:37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89"/>
      <c r="AJ376" s="161"/>
      <c r="AK376" s="161"/>
    </row>
    <row r="377" spans="1:37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89"/>
      <c r="AJ377" s="161"/>
      <c r="AK377" s="161"/>
    </row>
    <row r="378" spans="1:37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89"/>
      <c r="AJ378" s="161"/>
      <c r="AK378" s="161"/>
    </row>
    <row r="379" spans="1:37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89"/>
      <c r="AJ379" s="161"/>
      <c r="AK379" s="161"/>
    </row>
    <row r="380" spans="1:37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89"/>
      <c r="AJ380" s="161"/>
      <c r="AK380" s="161"/>
    </row>
    <row r="381" spans="1:37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89"/>
      <c r="AJ381" s="161"/>
      <c r="AK381" s="161"/>
    </row>
    <row r="382" spans="1:37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89"/>
      <c r="AJ382" s="161"/>
      <c r="AK382" s="161"/>
    </row>
    <row r="383" spans="1:37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89"/>
      <c r="AJ383" s="161"/>
      <c r="AK383" s="161"/>
    </row>
    <row r="384" spans="1:37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89"/>
      <c r="AJ384" s="161"/>
      <c r="AK384" s="161"/>
    </row>
    <row r="385" spans="1:37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89"/>
      <c r="AJ385" s="161"/>
      <c r="AK385" s="161"/>
    </row>
    <row r="386" spans="1:37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89"/>
      <c r="AJ386" s="161"/>
      <c r="AK386" s="161"/>
    </row>
    <row r="387" spans="1:37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89"/>
      <c r="AJ387" s="161"/>
      <c r="AK387" s="161"/>
    </row>
    <row r="388" spans="1:37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89"/>
      <c r="AJ388" s="161"/>
      <c r="AK388" s="161"/>
    </row>
    <row r="389" spans="1:37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89"/>
      <c r="AJ389" s="161"/>
      <c r="AK389" s="161"/>
    </row>
    <row r="390" spans="1:37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89"/>
      <c r="AJ390" s="161"/>
      <c r="AK390" s="161"/>
    </row>
    <row r="391" spans="1:37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89"/>
      <c r="AJ391" s="161"/>
      <c r="AK391" s="161"/>
    </row>
    <row r="392" spans="1:37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89"/>
      <c r="AJ392" s="161"/>
      <c r="AK392" s="161"/>
    </row>
    <row r="393" spans="1:37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89"/>
      <c r="AJ393" s="161"/>
      <c r="AK393" s="161"/>
    </row>
    <row r="394" spans="1:37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89"/>
      <c r="AJ394" s="161"/>
      <c r="AK394" s="161"/>
    </row>
    <row r="395" spans="1:37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89"/>
      <c r="AJ395" s="161"/>
      <c r="AK395" s="161"/>
    </row>
    <row r="396" spans="1:37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89"/>
      <c r="AJ396" s="161"/>
      <c r="AK396" s="161"/>
    </row>
    <row r="397" spans="1:37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89"/>
      <c r="AJ397" s="161"/>
      <c r="AK397" s="161"/>
    </row>
    <row r="398" spans="1:37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89"/>
      <c r="AJ398" s="161"/>
      <c r="AK398" s="161"/>
    </row>
    <row r="399" spans="1:37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89"/>
      <c r="AJ399" s="161"/>
      <c r="AK399" s="161"/>
    </row>
    <row r="400" spans="1:37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89"/>
      <c r="AJ400" s="161"/>
      <c r="AK400" s="161"/>
    </row>
    <row r="401" spans="1:37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89"/>
      <c r="AJ401" s="161"/>
      <c r="AK401" s="161"/>
    </row>
    <row r="402" spans="1:37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89"/>
      <c r="AJ402" s="161"/>
      <c r="AK402" s="161"/>
    </row>
    <row r="403" spans="1:37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89"/>
      <c r="AJ403" s="161"/>
      <c r="AK403" s="161"/>
    </row>
    <row r="404" spans="1:37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89"/>
      <c r="AJ404" s="161"/>
      <c r="AK404" s="161"/>
    </row>
    <row r="405" spans="1:37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89"/>
      <c r="AJ405" s="161"/>
      <c r="AK405" s="161"/>
    </row>
    <row r="406" spans="1:37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89"/>
      <c r="AJ406" s="161"/>
      <c r="AK406" s="161"/>
    </row>
    <row r="407" spans="1:37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89"/>
      <c r="AJ407" s="161"/>
      <c r="AK407" s="161"/>
    </row>
    <row r="408" spans="1:37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89"/>
      <c r="AJ408" s="161"/>
      <c r="AK408" s="161"/>
    </row>
    <row r="409" spans="1:37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89"/>
      <c r="AJ409" s="161"/>
      <c r="AK409" s="161"/>
    </row>
    <row r="410" spans="1:37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89"/>
      <c r="AJ410" s="161"/>
      <c r="AK410" s="161"/>
    </row>
    <row r="411" spans="1:37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89"/>
      <c r="AJ411" s="161"/>
      <c r="AK411" s="161"/>
    </row>
    <row r="412" spans="1:37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89"/>
      <c r="AJ412" s="161"/>
      <c r="AK412" s="161"/>
    </row>
    <row r="413" spans="1:37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89"/>
      <c r="AJ413" s="161"/>
      <c r="AK413" s="161"/>
    </row>
    <row r="414" spans="1:37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89"/>
      <c r="AJ414" s="161"/>
      <c r="AK414" s="161"/>
    </row>
    <row r="415" spans="1:37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89"/>
      <c r="AJ415" s="161"/>
      <c r="AK415" s="161"/>
    </row>
    <row r="416" spans="1:37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89"/>
      <c r="AJ416" s="161"/>
      <c r="AK416" s="161"/>
    </row>
    <row r="417" spans="1:37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89"/>
      <c r="AJ417" s="161"/>
      <c r="AK417" s="161"/>
    </row>
    <row r="418" spans="1:37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89"/>
      <c r="AJ418" s="161"/>
      <c r="AK418" s="161"/>
    </row>
    <row r="419" spans="1:37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89"/>
      <c r="AJ419" s="161"/>
      <c r="AK419" s="161"/>
    </row>
    <row r="420" spans="1:37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89"/>
      <c r="AJ420" s="161"/>
      <c r="AK420" s="161"/>
    </row>
    <row r="421" spans="1:37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89"/>
      <c r="AJ421" s="161"/>
      <c r="AK421" s="161"/>
    </row>
    <row r="422" spans="1:37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89"/>
      <c r="AJ422" s="161"/>
      <c r="AK422" s="161"/>
    </row>
    <row r="423" spans="1:37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89"/>
      <c r="AJ423" s="161"/>
      <c r="AK423" s="161"/>
    </row>
    <row r="424" spans="1:37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89"/>
      <c r="AJ424" s="161"/>
      <c r="AK424" s="161"/>
    </row>
    <row r="425" spans="1:37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89"/>
      <c r="AJ425" s="161"/>
      <c r="AK425" s="161"/>
    </row>
    <row r="426" spans="1:37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89"/>
      <c r="AJ426" s="161"/>
      <c r="AK426" s="161"/>
    </row>
    <row r="427" spans="1:37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89"/>
      <c r="AJ427" s="161"/>
      <c r="AK427" s="161"/>
    </row>
    <row r="428" spans="1:37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89"/>
      <c r="AJ428" s="161"/>
      <c r="AK428" s="161"/>
    </row>
    <row r="429" spans="1:37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89"/>
      <c r="AJ429" s="161"/>
      <c r="AK429" s="161"/>
    </row>
    <row r="430" spans="1:37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89"/>
      <c r="AJ430" s="161"/>
      <c r="AK430" s="161"/>
    </row>
    <row r="431" spans="1:37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89"/>
      <c r="AJ431" s="161"/>
      <c r="AK431" s="161"/>
    </row>
    <row r="432" spans="1:37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89"/>
      <c r="AJ432" s="161"/>
      <c r="AK432" s="161"/>
    </row>
    <row r="433" spans="1:37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89"/>
      <c r="AJ433" s="161"/>
      <c r="AK433" s="161"/>
    </row>
    <row r="434" spans="1:37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89"/>
      <c r="AJ434" s="161"/>
      <c r="AK434" s="161"/>
    </row>
    <row r="435" spans="1:37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89"/>
      <c r="AJ435" s="161"/>
      <c r="AK435" s="161"/>
    </row>
    <row r="436" spans="1:37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89"/>
      <c r="AJ436" s="161"/>
      <c r="AK436" s="161"/>
    </row>
    <row r="437" spans="1:37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89"/>
      <c r="AJ437" s="161"/>
      <c r="AK437" s="161"/>
    </row>
    <row r="438" spans="1:37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89"/>
      <c r="AJ438" s="161"/>
      <c r="AK438" s="161"/>
    </row>
    <row r="439" spans="1:37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89"/>
      <c r="AJ439" s="161"/>
      <c r="AK439" s="161"/>
    </row>
    <row r="440" spans="1:37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89"/>
      <c r="AJ440" s="161"/>
      <c r="AK440" s="161"/>
    </row>
    <row r="441" spans="1:37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89"/>
      <c r="AJ441" s="161"/>
      <c r="AK441" s="161"/>
    </row>
    <row r="442" spans="1:37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89"/>
      <c r="AJ442" s="161"/>
      <c r="AK442" s="161"/>
    </row>
    <row r="443" spans="1:37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89"/>
      <c r="AJ443" s="161"/>
      <c r="AK443" s="161"/>
    </row>
    <row r="444" spans="1:37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89"/>
      <c r="AJ444" s="161"/>
      <c r="AK444" s="161"/>
    </row>
    <row r="445" spans="1:37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89"/>
      <c r="AJ445" s="161"/>
      <c r="AK445" s="161"/>
    </row>
    <row r="446" spans="1:37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89"/>
      <c r="AJ446" s="161"/>
      <c r="AK446" s="161"/>
    </row>
    <row r="447" spans="1:37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89"/>
      <c r="AJ447" s="161"/>
      <c r="AK447" s="161"/>
    </row>
    <row r="448" spans="1:37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89"/>
      <c r="AJ448" s="161"/>
      <c r="AK448" s="161"/>
    </row>
    <row r="449" spans="1:37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89"/>
      <c r="AJ449" s="161"/>
      <c r="AK449" s="161"/>
    </row>
    <row r="450" spans="1:37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89"/>
      <c r="AJ450" s="161"/>
      <c r="AK450" s="161"/>
    </row>
    <row r="451" spans="1:37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89"/>
      <c r="AJ451" s="161"/>
      <c r="AK451" s="161"/>
    </row>
    <row r="452" spans="1:37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89"/>
      <c r="AJ452" s="161"/>
      <c r="AK452" s="161"/>
    </row>
    <row r="453" spans="1:37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89"/>
      <c r="AJ453" s="161"/>
      <c r="AK453" s="161"/>
    </row>
    <row r="454" spans="1:37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89"/>
      <c r="AJ454" s="161"/>
      <c r="AK454" s="161"/>
    </row>
    <row r="455" spans="1:37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89"/>
      <c r="AJ455" s="161"/>
      <c r="AK455" s="161"/>
    </row>
    <row r="456" spans="1:37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89"/>
      <c r="AJ456" s="161"/>
      <c r="AK456" s="161"/>
    </row>
    <row r="457" spans="1:37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89"/>
      <c r="AJ457" s="161"/>
      <c r="AK457" s="161"/>
    </row>
    <row r="458" spans="1:37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89"/>
      <c r="AJ458" s="161"/>
      <c r="AK458" s="161"/>
    </row>
    <row r="459" spans="1:37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89"/>
      <c r="AJ459" s="161"/>
      <c r="AK459" s="161"/>
    </row>
    <row r="460" spans="1:37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89"/>
      <c r="AJ460" s="161"/>
      <c r="AK460" s="161"/>
    </row>
    <row r="461" spans="1:37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89"/>
      <c r="AJ461" s="161"/>
      <c r="AK461" s="161"/>
    </row>
    <row r="462" spans="1:37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89"/>
      <c r="AJ462" s="161"/>
      <c r="AK462" s="161"/>
    </row>
    <row r="463" spans="1:37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89"/>
      <c r="AJ463" s="161"/>
      <c r="AK463" s="161"/>
    </row>
    <row r="464" spans="1:37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89"/>
      <c r="AJ464" s="161"/>
      <c r="AK464" s="161"/>
    </row>
    <row r="465" spans="1:37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89"/>
      <c r="AJ465" s="161"/>
      <c r="AK465" s="161"/>
    </row>
    <row r="466" spans="1:37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89"/>
      <c r="AJ466" s="161"/>
      <c r="AK466" s="161"/>
    </row>
    <row r="467" spans="1:37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89"/>
      <c r="AJ467" s="161"/>
      <c r="AK467" s="161"/>
    </row>
    <row r="468" spans="1:37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89"/>
      <c r="AJ468" s="161"/>
      <c r="AK468" s="161"/>
    </row>
    <row r="469" spans="1:37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89"/>
      <c r="AJ469" s="161"/>
      <c r="AK469" s="161"/>
    </row>
    <row r="470" spans="1:37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89"/>
      <c r="AJ470" s="161"/>
      <c r="AK470" s="161"/>
    </row>
    <row r="471" spans="1:37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89"/>
      <c r="AJ471" s="161"/>
      <c r="AK471" s="161"/>
    </row>
    <row r="472" spans="1:37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89"/>
      <c r="AJ472" s="161"/>
      <c r="AK472" s="161"/>
    </row>
    <row r="473" spans="1:37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89"/>
      <c r="AJ473" s="161"/>
      <c r="AK473" s="161"/>
    </row>
    <row r="474" spans="1:37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89"/>
      <c r="AJ474" s="161"/>
      <c r="AK474" s="161"/>
    </row>
    <row r="475" spans="1:37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89"/>
      <c r="AJ475" s="161"/>
      <c r="AK475" s="161"/>
    </row>
    <row r="476" spans="1:37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89"/>
      <c r="AJ476" s="161"/>
      <c r="AK476" s="161"/>
    </row>
    <row r="477" spans="1:37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89"/>
      <c r="AJ477" s="161"/>
      <c r="AK477" s="161"/>
    </row>
    <row r="478" spans="1:37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89"/>
      <c r="AJ478" s="161"/>
      <c r="AK478" s="161"/>
    </row>
    <row r="479" spans="1:37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89"/>
      <c r="AJ479" s="161"/>
      <c r="AK479" s="161"/>
    </row>
    <row r="480" spans="1:37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89"/>
      <c r="AJ480" s="161"/>
      <c r="AK480" s="161"/>
    </row>
    <row r="481" spans="1:37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89"/>
      <c r="AJ481" s="161"/>
      <c r="AK481" s="161"/>
    </row>
    <row r="482" spans="1:37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89"/>
      <c r="AJ482" s="161"/>
      <c r="AK482" s="161"/>
    </row>
    <row r="483" spans="1:37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89"/>
      <c r="AJ483" s="161"/>
      <c r="AK483" s="161"/>
    </row>
    <row r="484" spans="1:37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89"/>
      <c r="AJ484" s="161"/>
      <c r="AK484" s="161"/>
    </row>
    <row r="485" spans="1:37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89"/>
      <c r="AJ485" s="161"/>
      <c r="AK485" s="161"/>
    </row>
    <row r="486" spans="1:37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89"/>
      <c r="AJ486" s="161"/>
      <c r="AK486" s="161"/>
    </row>
    <row r="487" spans="1:37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89"/>
      <c r="AJ487" s="161"/>
      <c r="AK487" s="161"/>
    </row>
    <row r="488" spans="1:37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89"/>
      <c r="AJ488" s="161"/>
      <c r="AK488" s="161"/>
    </row>
    <row r="489" spans="1:37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89"/>
      <c r="AJ489" s="161"/>
      <c r="AK489" s="161"/>
    </row>
    <row r="490" spans="1:37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89"/>
      <c r="AJ490" s="161"/>
      <c r="AK490" s="161"/>
    </row>
    <row r="491" spans="1:37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89"/>
      <c r="AJ491" s="161"/>
      <c r="AK491" s="161"/>
    </row>
    <row r="492" spans="1:37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89"/>
      <c r="AJ492" s="161"/>
      <c r="AK492" s="161"/>
    </row>
    <row r="493" spans="1:37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89"/>
      <c r="AJ493" s="161"/>
      <c r="AK493" s="161"/>
    </row>
    <row r="494" spans="1:37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89"/>
      <c r="AJ494" s="161"/>
      <c r="AK494" s="161"/>
    </row>
    <row r="495" spans="1:37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89"/>
      <c r="AJ495" s="161"/>
      <c r="AK495" s="161"/>
    </row>
    <row r="496" spans="1:37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89"/>
      <c r="AJ496" s="161"/>
      <c r="AK496" s="161"/>
    </row>
    <row r="497" spans="1:37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89"/>
      <c r="AJ497" s="161"/>
      <c r="AK497" s="161"/>
    </row>
    <row r="498" spans="1:37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89"/>
      <c r="AJ498" s="161"/>
      <c r="AK498" s="161"/>
    </row>
    <row r="499" spans="1:37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89"/>
      <c r="AJ499" s="161"/>
      <c r="AK499" s="161"/>
    </row>
    <row r="500" spans="1:37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89"/>
      <c r="AJ500" s="161"/>
      <c r="AK500" s="161"/>
    </row>
    <row r="501" spans="1:37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89"/>
      <c r="AJ501" s="161"/>
      <c r="AK501" s="161"/>
    </row>
    <row r="502" spans="1:37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89"/>
      <c r="AJ502" s="161"/>
      <c r="AK502" s="161"/>
    </row>
    <row r="503" spans="1:37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89"/>
      <c r="AJ503" s="161"/>
      <c r="AK503" s="161"/>
    </row>
    <row r="504" spans="1:37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89"/>
      <c r="AJ504" s="161"/>
      <c r="AK504" s="161"/>
    </row>
    <row r="505" spans="1:37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89"/>
      <c r="AJ505" s="161"/>
      <c r="AK505" s="161"/>
    </row>
    <row r="506" spans="1:37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89"/>
      <c r="AJ506" s="161"/>
      <c r="AK506" s="161"/>
    </row>
    <row r="507" spans="1:37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89"/>
      <c r="AJ507" s="161"/>
      <c r="AK507" s="161"/>
    </row>
    <row r="508" spans="1:37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89"/>
      <c r="AJ508" s="161"/>
      <c r="AK508" s="161"/>
    </row>
    <row r="509" spans="1:37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89"/>
      <c r="AJ509" s="161"/>
      <c r="AK509" s="161"/>
    </row>
    <row r="510" spans="1:37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89"/>
      <c r="AJ510" s="161"/>
      <c r="AK510" s="161"/>
    </row>
    <row r="511" spans="1:37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89"/>
      <c r="AJ511" s="161"/>
      <c r="AK511" s="161"/>
    </row>
    <row r="512" spans="1:37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89"/>
      <c r="AJ512" s="161"/>
      <c r="AK512" s="161"/>
    </row>
    <row r="513" spans="1:37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89"/>
      <c r="AJ513" s="161"/>
      <c r="AK513" s="161"/>
    </row>
    <row r="514" spans="1:37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89"/>
      <c r="AJ514" s="161"/>
      <c r="AK514" s="161"/>
    </row>
    <row r="515" spans="1:37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89"/>
      <c r="AJ515" s="161"/>
      <c r="AK515" s="161"/>
    </row>
    <row r="516" spans="1:37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89"/>
      <c r="AJ516" s="161"/>
      <c r="AK516" s="161"/>
    </row>
    <row r="517" spans="1:37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89"/>
      <c r="AJ517" s="161"/>
      <c r="AK517" s="161"/>
    </row>
    <row r="518" spans="1:37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89"/>
      <c r="AJ518" s="161"/>
      <c r="AK518" s="161"/>
    </row>
    <row r="519" spans="1:37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89"/>
      <c r="AJ519" s="161"/>
      <c r="AK519" s="161"/>
    </row>
    <row r="520" spans="1:37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89"/>
      <c r="AJ520" s="161"/>
      <c r="AK520" s="161"/>
    </row>
    <row r="521" spans="1:37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89"/>
      <c r="AJ521" s="161"/>
      <c r="AK521" s="161"/>
    </row>
    <row r="522" spans="1:37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89"/>
      <c r="AJ522" s="161"/>
      <c r="AK522" s="161"/>
    </row>
    <row r="523" spans="1:37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89"/>
      <c r="AJ523" s="161"/>
      <c r="AK523" s="161"/>
    </row>
    <row r="524" spans="1:37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89"/>
      <c r="AJ524" s="161"/>
      <c r="AK524" s="161"/>
    </row>
    <row r="525" spans="1:37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89"/>
      <c r="AJ525" s="161"/>
      <c r="AK525" s="161"/>
    </row>
    <row r="526" spans="1:37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89"/>
      <c r="AJ526" s="161"/>
      <c r="AK526" s="161"/>
    </row>
    <row r="527" spans="1:37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89"/>
      <c r="AJ527" s="161"/>
      <c r="AK527" s="161"/>
    </row>
    <row r="528" spans="1:37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89"/>
      <c r="AJ528" s="161"/>
      <c r="AK528" s="161"/>
    </row>
    <row r="529" spans="1:37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89"/>
      <c r="AJ529" s="161"/>
      <c r="AK529" s="161"/>
    </row>
    <row r="530" spans="1:37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89"/>
      <c r="AJ530" s="161"/>
      <c r="AK530" s="161"/>
    </row>
    <row r="531" spans="1:37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89"/>
      <c r="AJ531" s="161"/>
      <c r="AK531" s="161"/>
    </row>
    <row r="532" spans="1:37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89"/>
      <c r="AJ532" s="161"/>
      <c r="AK532" s="161"/>
    </row>
    <row r="533" spans="1:37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89"/>
      <c r="AJ533" s="161"/>
      <c r="AK533" s="161"/>
    </row>
    <row r="534" spans="1:37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89"/>
      <c r="AJ534" s="161"/>
      <c r="AK534" s="161"/>
    </row>
    <row r="535" spans="1:37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89"/>
      <c r="AJ535" s="161"/>
      <c r="AK535" s="161"/>
    </row>
    <row r="536" spans="1:37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89"/>
      <c r="AJ536" s="161"/>
      <c r="AK536" s="161"/>
    </row>
    <row r="537" spans="1:37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89"/>
      <c r="AJ537" s="161"/>
      <c r="AK537" s="161"/>
    </row>
    <row r="538" spans="1:37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89"/>
      <c r="AJ538" s="161"/>
      <c r="AK538" s="161"/>
    </row>
    <row r="539" spans="1:37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89"/>
      <c r="AJ539" s="161"/>
      <c r="AK539" s="161"/>
    </row>
    <row r="540" spans="1:37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89"/>
      <c r="AJ540" s="161"/>
      <c r="AK540" s="161"/>
    </row>
    <row r="541" spans="1:37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89"/>
      <c r="AJ541" s="161"/>
      <c r="AK541" s="161"/>
    </row>
    <row r="542" spans="1:37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89"/>
      <c r="AJ542" s="161"/>
      <c r="AK542" s="161"/>
    </row>
    <row r="543" spans="1:37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89"/>
      <c r="AJ543" s="161"/>
      <c r="AK543" s="161"/>
    </row>
    <row r="544" spans="1:37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89"/>
      <c r="AJ544" s="161"/>
      <c r="AK544" s="161"/>
    </row>
    <row r="545" spans="1:37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89"/>
      <c r="AJ545" s="161"/>
      <c r="AK545" s="161"/>
    </row>
    <row r="546" spans="1:37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89"/>
      <c r="AJ546" s="161"/>
      <c r="AK546" s="161"/>
    </row>
    <row r="547" spans="1:37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89"/>
      <c r="AJ547" s="161"/>
      <c r="AK547" s="161"/>
    </row>
    <row r="548" spans="1:37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89"/>
      <c r="AJ548" s="161"/>
      <c r="AK548" s="161"/>
    </row>
    <row r="549" spans="1:37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89"/>
      <c r="AJ549" s="161"/>
      <c r="AK549" s="161"/>
    </row>
    <row r="550" spans="1:37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89"/>
      <c r="AJ550" s="161"/>
      <c r="AK550" s="161"/>
    </row>
    <row r="551" spans="1:37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89"/>
      <c r="AJ551" s="161"/>
      <c r="AK551" s="161"/>
    </row>
    <row r="552" spans="1:37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89"/>
      <c r="AJ552" s="161"/>
      <c r="AK552" s="161"/>
    </row>
    <row r="553" spans="1:37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89"/>
      <c r="AJ553" s="161"/>
      <c r="AK553" s="161"/>
    </row>
    <row r="554" spans="1:37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89"/>
      <c r="AJ554" s="161"/>
      <c r="AK554" s="161"/>
    </row>
    <row r="555" spans="1:37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89"/>
      <c r="AJ555" s="161"/>
      <c r="AK555" s="161"/>
    </row>
    <row r="556" spans="1:37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89"/>
      <c r="AJ556" s="161"/>
      <c r="AK556" s="161"/>
    </row>
    <row r="557" spans="1:37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89"/>
      <c r="AJ557" s="161"/>
      <c r="AK557" s="161"/>
    </row>
    <row r="558" spans="1:37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89"/>
      <c r="AJ558" s="161"/>
      <c r="AK558" s="161"/>
    </row>
    <row r="559" spans="1:37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89"/>
      <c r="AJ559" s="161"/>
      <c r="AK559" s="161"/>
    </row>
    <row r="560" spans="1:37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89"/>
      <c r="AJ560" s="161"/>
      <c r="AK560" s="161"/>
    </row>
    <row r="561" spans="1:37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89"/>
      <c r="AJ561" s="161"/>
      <c r="AK561" s="161"/>
    </row>
    <row r="562" spans="1:37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89"/>
      <c r="AJ562" s="161"/>
      <c r="AK562" s="161"/>
    </row>
    <row r="563" spans="1:37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89"/>
      <c r="AJ563" s="161"/>
      <c r="AK563" s="161"/>
    </row>
    <row r="564" spans="1:37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89"/>
      <c r="AJ564" s="161"/>
      <c r="AK564" s="161"/>
    </row>
    <row r="565" spans="1:37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89"/>
      <c r="AJ565" s="161"/>
      <c r="AK565" s="161"/>
    </row>
    <row r="566" spans="1:37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89"/>
      <c r="AJ566" s="161"/>
      <c r="AK566" s="161"/>
    </row>
    <row r="567" spans="1:37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89"/>
      <c r="AJ567" s="161"/>
      <c r="AK567" s="161"/>
    </row>
    <row r="568" spans="1:37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89"/>
      <c r="AJ568" s="161"/>
      <c r="AK568" s="161"/>
    </row>
    <row r="569" spans="1:37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89"/>
      <c r="AJ569" s="161"/>
      <c r="AK569" s="161"/>
    </row>
    <row r="570" spans="1:37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89"/>
      <c r="AJ570" s="161"/>
      <c r="AK570" s="161"/>
    </row>
    <row r="571" spans="1:37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89"/>
      <c r="AJ571" s="161"/>
      <c r="AK571" s="161"/>
    </row>
    <row r="572" spans="1:37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89"/>
      <c r="AJ572" s="161"/>
      <c r="AK572" s="161"/>
    </row>
    <row r="573" spans="1:37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89"/>
      <c r="AJ573" s="161"/>
      <c r="AK573" s="161"/>
    </row>
    <row r="574" spans="1:37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89"/>
      <c r="AJ574" s="161"/>
      <c r="AK574" s="161"/>
    </row>
    <row r="575" spans="1:37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89"/>
      <c r="AJ575" s="161"/>
      <c r="AK575" s="161"/>
    </row>
    <row r="576" spans="1:37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89"/>
      <c r="AJ576" s="161"/>
      <c r="AK576" s="161"/>
    </row>
    <row r="577" spans="1:37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89"/>
      <c r="AJ577" s="161"/>
      <c r="AK577" s="161"/>
    </row>
    <row r="578" spans="1:37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89"/>
      <c r="AJ578" s="161"/>
      <c r="AK578" s="161"/>
    </row>
    <row r="579" spans="1:37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89"/>
      <c r="AJ579" s="161"/>
      <c r="AK579" s="161"/>
    </row>
    <row r="580" spans="1:37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89"/>
      <c r="AJ580" s="161"/>
      <c r="AK580" s="161"/>
    </row>
    <row r="581" spans="1:37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89"/>
      <c r="AJ581" s="161"/>
      <c r="AK581" s="161"/>
    </row>
    <row r="582" spans="1:37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89"/>
      <c r="AJ582" s="161"/>
      <c r="AK582" s="161"/>
    </row>
    <row r="583" spans="1:37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89"/>
      <c r="AJ583" s="161"/>
      <c r="AK583" s="161"/>
    </row>
    <row r="584" spans="1:37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89"/>
      <c r="AJ584" s="161"/>
      <c r="AK584" s="161"/>
    </row>
    <row r="585" spans="1:37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89"/>
      <c r="AJ585" s="161"/>
      <c r="AK585" s="161"/>
    </row>
    <row r="586" spans="1:37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89"/>
      <c r="AJ586" s="161"/>
      <c r="AK586" s="161"/>
    </row>
    <row r="587" spans="1:37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89"/>
      <c r="AJ587" s="161"/>
      <c r="AK587" s="161"/>
    </row>
    <row r="588" spans="1:37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89"/>
      <c r="AJ588" s="161"/>
      <c r="AK588" s="161"/>
    </row>
    <row r="589" spans="1:37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89"/>
      <c r="AJ589" s="161"/>
      <c r="AK589" s="161"/>
    </row>
    <row r="590" spans="1:37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89"/>
      <c r="AJ590" s="161"/>
      <c r="AK590" s="161"/>
    </row>
    <row r="591" spans="1:37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89"/>
      <c r="AJ591" s="161"/>
      <c r="AK591" s="161"/>
    </row>
    <row r="592" spans="1:37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89"/>
      <c r="AJ592" s="161"/>
      <c r="AK592" s="161"/>
    </row>
    <row r="593" spans="1:37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89"/>
      <c r="AJ593" s="161"/>
      <c r="AK593" s="161"/>
    </row>
    <row r="594" spans="1:37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89"/>
      <c r="AJ594" s="161"/>
      <c r="AK594" s="161"/>
    </row>
    <row r="595" spans="1:37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89"/>
      <c r="AJ595" s="161"/>
      <c r="AK595" s="161"/>
    </row>
    <row r="596" spans="1:37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89"/>
      <c r="AJ596" s="161"/>
      <c r="AK596" s="161"/>
    </row>
    <row r="597" spans="1:37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89"/>
      <c r="AJ597" s="161"/>
      <c r="AK597" s="161"/>
    </row>
    <row r="598" spans="1:37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89"/>
      <c r="AJ598" s="161"/>
      <c r="AK598" s="161"/>
    </row>
    <row r="599" spans="1:37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89"/>
      <c r="AJ599" s="161"/>
      <c r="AK599" s="161"/>
    </row>
    <row r="600" spans="1:37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89"/>
      <c r="AJ600" s="161"/>
      <c r="AK600" s="161"/>
    </row>
    <row r="601" spans="1:37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89"/>
      <c r="AJ601" s="161"/>
      <c r="AK601" s="161"/>
    </row>
    <row r="602" spans="1:37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89"/>
      <c r="AJ602" s="161"/>
      <c r="AK602" s="161"/>
    </row>
    <row r="603" spans="1:37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89"/>
      <c r="AJ603" s="161"/>
      <c r="AK603" s="161"/>
    </row>
    <row r="604" spans="1:37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89"/>
      <c r="AJ604" s="161"/>
      <c r="AK604" s="161"/>
    </row>
    <row r="605" spans="1:37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89"/>
      <c r="AJ605" s="161"/>
      <c r="AK605" s="161"/>
    </row>
    <row r="606" spans="1:37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89"/>
      <c r="AJ606" s="161"/>
      <c r="AK606" s="161"/>
    </row>
    <row r="607" spans="1:37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89"/>
      <c r="AJ607" s="161"/>
      <c r="AK607" s="161"/>
    </row>
    <row r="608" spans="1:37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89"/>
      <c r="AJ608" s="161"/>
      <c r="AK608" s="161"/>
    </row>
    <row r="609" spans="1:37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89"/>
      <c r="AJ609" s="161"/>
      <c r="AK609" s="161"/>
    </row>
    <row r="610" spans="1:37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89"/>
      <c r="AJ610" s="161"/>
      <c r="AK610" s="161"/>
    </row>
    <row r="611" spans="1:37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89"/>
      <c r="AJ611" s="161"/>
      <c r="AK611" s="161"/>
    </row>
    <row r="612" spans="1:37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89"/>
      <c r="AJ612" s="161"/>
      <c r="AK612" s="161"/>
    </row>
    <row r="613" spans="1:37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89"/>
      <c r="AJ613" s="161"/>
      <c r="AK613" s="161"/>
    </row>
    <row r="614" spans="1:37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89"/>
      <c r="AJ614" s="161"/>
      <c r="AK614" s="161"/>
    </row>
    <row r="615" spans="1:37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89"/>
      <c r="AJ615" s="161"/>
      <c r="AK615" s="161"/>
    </row>
    <row r="616" spans="1:37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89"/>
      <c r="AJ616" s="161"/>
      <c r="AK616" s="161"/>
    </row>
    <row r="617" spans="1:37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89"/>
      <c r="AJ617" s="161"/>
      <c r="AK617" s="161"/>
    </row>
    <row r="618" spans="1:37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89"/>
      <c r="AJ618" s="161"/>
      <c r="AK618" s="161"/>
    </row>
    <row r="619" spans="1:37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89"/>
      <c r="AJ619" s="161"/>
      <c r="AK619" s="161"/>
    </row>
    <row r="620" spans="1:37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89"/>
      <c r="AJ620" s="161"/>
      <c r="AK620" s="161"/>
    </row>
    <row r="621" spans="1:37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89"/>
      <c r="AJ621" s="161"/>
      <c r="AK621" s="161"/>
    </row>
    <row r="622" spans="1:37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89"/>
      <c r="AJ622" s="161"/>
      <c r="AK622" s="161"/>
    </row>
    <row r="623" spans="1:37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89"/>
      <c r="AJ623" s="161"/>
      <c r="AK623" s="161"/>
    </row>
    <row r="624" spans="1:37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89"/>
      <c r="AJ624" s="161"/>
      <c r="AK624" s="161"/>
    </row>
    <row r="625" spans="1:37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89"/>
      <c r="AJ625" s="161"/>
      <c r="AK625" s="161"/>
    </row>
    <row r="626" spans="1:37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89"/>
      <c r="AJ626" s="161"/>
      <c r="AK626" s="161"/>
    </row>
    <row r="627" spans="1:37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89"/>
      <c r="AJ627" s="161"/>
      <c r="AK627" s="161"/>
    </row>
    <row r="628" spans="1:37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89"/>
      <c r="AJ628" s="161"/>
      <c r="AK628" s="161"/>
    </row>
    <row r="629" spans="1:37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89"/>
      <c r="AJ629" s="161"/>
      <c r="AK629" s="161"/>
    </row>
    <row r="630" spans="1:37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89"/>
      <c r="AJ630" s="161"/>
      <c r="AK630" s="161"/>
    </row>
    <row r="631" spans="1:37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89"/>
      <c r="AJ631" s="161"/>
      <c r="AK631" s="161"/>
    </row>
    <row r="632" spans="1:37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89"/>
      <c r="AJ632" s="161"/>
      <c r="AK632" s="161"/>
    </row>
    <row r="633" spans="1:37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89"/>
      <c r="AJ633" s="161"/>
      <c r="AK633" s="161"/>
    </row>
    <row r="634" spans="1:37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89"/>
      <c r="AJ634" s="161"/>
      <c r="AK634" s="161"/>
    </row>
    <row r="635" spans="1:37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89"/>
      <c r="AJ635" s="161"/>
      <c r="AK635" s="161"/>
    </row>
    <row r="636" spans="1:37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89"/>
      <c r="AJ636" s="161"/>
      <c r="AK636" s="161"/>
    </row>
    <row r="637" spans="1:37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89"/>
      <c r="AJ637" s="161"/>
      <c r="AK637" s="161"/>
    </row>
    <row r="638" spans="1:37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89"/>
      <c r="AJ638" s="161"/>
      <c r="AK638" s="161"/>
    </row>
    <row r="639" spans="1:37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89"/>
      <c r="AJ639" s="161"/>
      <c r="AK639" s="161"/>
    </row>
    <row r="640" spans="1:37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89"/>
      <c r="AJ640" s="161"/>
      <c r="AK640" s="161"/>
    </row>
    <row r="641" spans="1:37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89"/>
      <c r="AJ641" s="161"/>
      <c r="AK641" s="161"/>
    </row>
    <row r="642" spans="1:37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89"/>
      <c r="AJ642" s="161"/>
      <c r="AK642" s="161"/>
    </row>
    <row r="643" spans="1:37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89"/>
      <c r="AJ643" s="161"/>
      <c r="AK643" s="161"/>
    </row>
    <row r="644" spans="1:37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89"/>
      <c r="AJ644" s="161"/>
      <c r="AK644" s="161"/>
    </row>
    <row r="645" spans="1:37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89"/>
      <c r="AJ645" s="161"/>
      <c r="AK645" s="161"/>
    </row>
    <row r="646" spans="1:37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89"/>
      <c r="AJ646" s="161"/>
      <c r="AK646" s="161"/>
    </row>
    <row r="647" spans="1:37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89"/>
      <c r="AJ647" s="161"/>
      <c r="AK647" s="161"/>
    </row>
    <row r="648" spans="1:37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89"/>
      <c r="AJ648" s="161"/>
      <c r="AK648" s="161"/>
    </row>
    <row r="649" spans="1:37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89"/>
      <c r="AJ649" s="161"/>
      <c r="AK649" s="161"/>
    </row>
    <row r="650" spans="1:37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89"/>
      <c r="AJ650" s="161"/>
      <c r="AK650" s="161"/>
    </row>
    <row r="651" spans="1:37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89"/>
      <c r="AJ651" s="161"/>
      <c r="AK651" s="161"/>
    </row>
    <row r="652" spans="1:37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89"/>
      <c r="AJ652" s="161"/>
      <c r="AK652" s="161"/>
    </row>
    <row r="653" spans="1:37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89"/>
      <c r="AJ653" s="161"/>
      <c r="AK653" s="161"/>
    </row>
    <row r="654" spans="1:37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89"/>
      <c r="AJ654" s="161"/>
      <c r="AK654" s="161"/>
    </row>
    <row r="655" spans="1:37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89"/>
      <c r="AJ655" s="161"/>
      <c r="AK655" s="161"/>
    </row>
    <row r="656" spans="1:37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89"/>
      <c r="AJ656" s="161"/>
      <c r="AK656" s="161"/>
    </row>
    <row r="657" spans="1:37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89"/>
      <c r="AJ657" s="161"/>
      <c r="AK657" s="161"/>
    </row>
    <row r="658" spans="1:37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89"/>
      <c r="AJ658" s="161"/>
      <c r="AK658" s="161"/>
    </row>
    <row r="659" spans="1:37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89"/>
      <c r="AJ659" s="161"/>
      <c r="AK659" s="161"/>
    </row>
    <row r="660" spans="1:37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89"/>
      <c r="AJ660" s="161"/>
      <c r="AK660" s="161"/>
    </row>
    <row r="661" spans="1:37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89"/>
      <c r="AJ661" s="161"/>
      <c r="AK661" s="161"/>
    </row>
    <row r="662" spans="1:37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89"/>
      <c r="AJ662" s="161"/>
      <c r="AK662" s="161"/>
    </row>
    <row r="663" spans="1:37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89"/>
      <c r="AJ663" s="161"/>
      <c r="AK663" s="161"/>
    </row>
    <row r="664" spans="1:37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89"/>
      <c r="AJ664" s="161"/>
      <c r="AK664" s="161"/>
    </row>
    <row r="665" spans="1:37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89"/>
      <c r="AJ665" s="161"/>
      <c r="AK665" s="161"/>
    </row>
    <row r="666" spans="1:37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89"/>
      <c r="AJ666" s="161"/>
      <c r="AK666" s="161"/>
    </row>
    <row r="667" spans="1:37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89"/>
      <c r="AJ667" s="161"/>
      <c r="AK667" s="161"/>
    </row>
    <row r="668" spans="1:37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89"/>
      <c r="AJ668" s="161"/>
      <c r="AK668" s="161"/>
    </row>
    <row r="669" spans="1:37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89"/>
      <c r="AJ669" s="161"/>
      <c r="AK669" s="161"/>
    </row>
    <row r="670" spans="1:37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89"/>
      <c r="AJ670" s="161"/>
      <c r="AK670" s="161"/>
    </row>
    <row r="671" spans="1:37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89"/>
      <c r="AJ671" s="161"/>
      <c r="AK671" s="161"/>
    </row>
    <row r="672" spans="1:37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89"/>
      <c r="AJ672" s="161"/>
      <c r="AK672" s="161"/>
    </row>
    <row r="673" spans="1:37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89"/>
      <c r="AJ673" s="161"/>
      <c r="AK673" s="161"/>
    </row>
    <row r="674" spans="1:37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89"/>
      <c r="AJ674" s="161"/>
      <c r="AK674" s="161"/>
    </row>
    <row r="675" spans="1:37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89"/>
      <c r="AJ675" s="161"/>
      <c r="AK675" s="161"/>
    </row>
    <row r="676" spans="1:37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89"/>
      <c r="AJ676" s="161"/>
      <c r="AK676" s="161"/>
    </row>
    <row r="677" spans="1:37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89"/>
      <c r="AJ677" s="161"/>
      <c r="AK677" s="161"/>
    </row>
    <row r="678" spans="1:37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89"/>
      <c r="AJ678" s="161"/>
      <c r="AK678" s="161"/>
    </row>
    <row r="679" spans="1:37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89"/>
      <c r="AJ679" s="161"/>
      <c r="AK679" s="161"/>
    </row>
    <row r="680" spans="1:37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89"/>
      <c r="AJ680" s="161"/>
      <c r="AK680" s="161"/>
    </row>
    <row r="681" spans="1:37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89"/>
      <c r="AJ681" s="161"/>
      <c r="AK681" s="161"/>
    </row>
    <row r="682" spans="1:37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89"/>
      <c r="AJ682" s="161"/>
      <c r="AK682" s="161"/>
    </row>
    <row r="683" spans="1:37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89"/>
      <c r="AJ683" s="161"/>
      <c r="AK683" s="161"/>
    </row>
    <row r="684" spans="1:37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89"/>
      <c r="AJ684" s="161"/>
      <c r="AK684" s="161"/>
    </row>
    <row r="685" spans="1:37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89"/>
      <c r="AJ685" s="161"/>
      <c r="AK685" s="161"/>
    </row>
    <row r="686" spans="1:37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89"/>
      <c r="AJ686" s="161"/>
      <c r="AK686" s="161"/>
    </row>
    <row r="687" spans="1:37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89"/>
      <c r="AJ687" s="161"/>
      <c r="AK687" s="161"/>
    </row>
    <row r="688" spans="1:37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89"/>
      <c r="AJ688" s="161"/>
      <c r="AK688" s="161"/>
    </row>
    <row r="689" spans="1:37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89"/>
      <c r="AJ689" s="161"/>
      <c r="AK689" s="161"/>
    </row>
    <row r="690" spans="1:37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89"/>
      <c r="AJ690" s="161"/>
      <c r="AK690" s="161"/>
    </row>
    <row r="691" spans="1:37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89"/>
      <c r="AJ691" s="161"/>
      <c r="AK691" s="161"/>
    </row>
    <row r="692" spans="1:37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89"/>
      <c r="AJ692" s="161"/>
      <c r="AK692" s="161"/>
    </row>
    <row r="693" spans="1:37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89"/>
      <c r="AJ693" s="161"/>
      <c r="AK693" s="161"/>
    </row>
    <row r="694" spans="1:37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89"/>
      <c r="AJ694" s="161"/>
      <c r="AK694" s="161"/>
    </row>
    <row r="695" spans="1:37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89"/>
      <c r="AJ695" s="161"/>
      <c r="AK695" s="161"/>
    </row>
    <row r="696" spans="1:37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89"/>
      <c r="AJ696" s="161"/>
      <c r="AK696" s="161"/>
    </row>
    <row r="697" spans="1:37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89"/>
      <c r="AJ697" s="161"/>
      <c r="AK697" s="161"/>
    </row>
    <row r="698" spans="1:37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89"/>
      <c r="AJ698" s="161"/>
      <c r="AK698" s="161"/>
    </row>
    <row r="699" spans="1:37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89"/>
      <c r="AJ699" s="161"/>
      <c r="AK699" s="161"/>
    </row>
    <row r="700" spans="1:37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89"/>
      <c r="AJ700" s="161"/>
      <c r="AK700" s="161"/>
    </row>
    <row r="701" spans="1:37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89"/>
      <c r="AJ701" s="161"/>
      <c r="AK701" s="161"/>
    </row>
    <row r="702" spans="1:37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89"/>
      <c r="AJ702" s="161"/>
      <c r="AK702" s="161"/>
    </row>
    <row r="703" spans="1:37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89"/>
      <c r="AJ703" s="161"/>
      <c r="AK703" s="161"/>
    </row>
    <row r="704" spans="1:37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89"/>
      <c r="AJ704" s="161"/>
      <c r="AK704" s="161"/>
    </row>
    <row r="705" spans="1:37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89"/>
      <c r="AJ705" s="161"/>
      <c r="AK705" s="161"/>
    </row>
    <row r="706" spans="1:37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89"/>
      <c r="AJ706" s="161"/>
      <c r="AK706" s="161"/>
    </row>
    <row r="707" spans="1:37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89"/>
      <c r="AJ707" s="161"/>
      <c r="AK707" s="161"/>
    </row>
    <row r="708" spans="1:37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89"/>
      <c r="AJ708" s="161"/>
      <c r="AK708" s="161"/>
    </row>
    <row r="709" spans="1:37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89"/>
      <c r="AJ709" s="161"/>
      <c r="AK709" s="161"/>
    </row>
    <row r="710" spans="1:37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89"/>
      <c r="AJ710" s="161"/>
      <c r="AK710" s="161"/>
    </row>
    <row r="711" spans="1:37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89"/>
      <c r="AJ711" s="161"/>
      <c r="AK711" s="161"/>
    </row>
    <row r="712" spans="1:37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89"/>
      <c r="AJ712" s="161"/>
      <c r="AK712" s="161"/>
    </row>
    <row r="713" spans="1:37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89"/>
      <c r="AJ713" s="161"/>
      <c r="AK713" s="161"/>
    </row>
    <row r="714" spans="1:37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89"/>
      <c r="AJ714" s="161"/>
      <c r="AK714" s="161"/>
    </row>
    <row r="715" spans="1:37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89"/>
      <c r="AJ715" s="161"/>
      <c r="AK715" s="161"/>
    </row>
    <row r="716" spans="1:37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89"/>
      <c r="AJ716" s="161"/>
      <c r="AK716" s="161"/>
    </row>
    <row r="717" spans="1:37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89"/>
      <c r="AJ717" s="161"/>
      <c r="AK717" s="161"/>
    </row>
    <row r="718" spans="1:37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89"/>
      <c r="AJ718" s="161"/>
      <c r="AK718" s="161"/>
    </row>
    <row r="719" spans="1:37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89"/>
      <c r="AJ719" s="161"/>
      <c r="AK719" s="161"/>
    </row>
    <row r="720" spans="1:37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89"/>
      <c r="AJ720" s="161"/>
      <c r="AK720" s="161"/>
    </row>
    <row r="721" spans="1:37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89"/>
      <c r="AJ721" s="161"/>
      <c r="AK721" s="161"/>
    </row>
    <row r="722" spans="1:37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89"/>
      <c r="AJ722" s="161"/>
      <c r="AK722" s="161"/>
    </row>
    <row r="723" spans="1:37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89"/>
      <c r="AJ723" s="161"/>
      <c r="AK723" s="161"/>
    </row>
    <row r="724" spans="1:37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89"/>
      <c r="AJ724" s="161"/>
      <c r="AK724" s="161"/>
    </row>
    <row r="725" spans="1:37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89"/>
      <c r="AJ725" s="161"/>
      <c r="AK725" s="161"/>
    </row>
    <row r="726" spans="1:37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89"/>
      <c r="AJ726" s="161"/>
      <c r="AK726" s="161"/>
    </row>
    <row r="727" spans="1:37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89"/>
      <c r="AJ727" s="161"/>
      <c r="AK727" s="161"/>
    </row>
    <row r="728" spans="1:37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89"/>
      <c r="AJ728" s="161"/>
      <c r="AK728" s="161"/>
    </row>
    <row r="729" spans="1:37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89"/>
      <c r="AJ729" s="161"/>
      <c r="AK729" s="161"/>
    </row>
    <row r="730" spans="1:37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89"/>
      <c r="AJ730" s="161"/>
      <c r="AK730" s="161"/>
    </row>
    <row r="731" spans="1:37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89"/>
      <c r="AJ731" s="161"/>
      <c r="AK731" s="161"/>
    </row>
    <row r="732" spans="1:37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89"/>
      <c r="AJ732" s="161"/>
      <c r="AK732" s="161"/>
    </row>
    <row r="733" spans="1:37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89"/>
      <c r="AJ733" s="161"/>
      <c r="AK733" s="161"/>
    </row>
    <row r="734" spans="1:37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89"/>
      <c r="AJ734" s="161"/>
      <c r="AK734" s="161"/>
    </row>
    <row r="735" spans="1:37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89"/>
      <c r="AJ735" s="161"/>
      <c r="AK735" s="161"/>
    </row>
    <row r="736" spans="1:37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89"/>
      <c r="AJ736" s="161"/>
      <c r="AK736" s="161"/>
    </row>
    <row r="737" spans="1:37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89"/>
      <c r="AJ737" s="161"/>
      <c r="AK737" s="161"/>
    </row>
    <row r="738" spans="1:37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89"/>
      <c r="AJ738" s="161"/>
      <c r="AK738" s="161"/>
    </row>
    <row r="739" spans="1:37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89"/>
      <c r="AJ739" s="161"/>
      <c r="AK739" s="161"/>
    </row>
    <row r="740" spans="1:37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89"/>
      <c r="AJ740" s="161"/>
      <c r="AK740" s="161"/>
    </row>
    <row r="741" spans="1:37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89"/>
      <c r="AJ741" s="161"/>
      <c r="AK741" s="161"/>
    </row>
    <row r="742" spans="1:37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89"/>
      <c r="AJ742" s="161"/>
      <c r="AK742" s="161"/>
    </row>
    <row r="743" spans="1:37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89"/>
      <c r="AJ743" s="161"/>
      <c r="AK743" s="161"/>
    </row>
    <row r="744" spans="1:37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89"/>
      <c r="AJ744" s="161"/>
      <c r="AK744" s="161"/>
    </row>
    <row r="745" spans="1:37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89"/>
      <c r="AJ745" s="161"/>
      <c r="AK745" s="161"/>
    </row>
    <row r="746" spans="1:37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89"/>
      <c r="AJ746" s="161"/>
      <c r="AK746" s="161"/>
    </row>
    <row r="747" spans="1:37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89"/>
      <c r="AJ747" s="161"/>
      <c r="AK747" s="161"/>
    </row>
    <row r="748" spans="1:37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89"/>
      <c r="AJ748" s="161"/>
      <c r="AK748" s="161"/>
    </row>
    <row r="749" spans="1:37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89"/>
      <c r="AJ749" s="161"/>
      <c r="AK749" s="161"/>
    </row>
    <row r="750" spans="1:37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89"/>
      <c r="AJ750" s="161"/>
      <c r="AK750" s="161"/>
    </row>
    <row r="751" spans="1:37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89"/>
      <c r="AJ751" s="161"/>
      <c r="AK751" s="161"/>
    </row>
    <row r="752" spans="1:37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89"/>
      <c r="AJ752" s="161"/>
      <c r="AK752" s="161"/>
    </row>
    <row r="753" spans="1:37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89"/>
      <c r="AJ753" s="161"/>
      <c r="AK753" s="161"/>
    </row>
    <row r="754" spans="1:37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89"/>
      <c r="AJ754" s="161"/>
      <c r="AK754" s="161"/>
    </row>
    <row r="755" spans="1:37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89"/>
      <c r="AJ755" s="161"/>
      <c r="AK755" s="161"/>
    </row>
    <row r="756" spans="1:37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89"/>
      <c r="AJ756" s="161"/>
      <c r="AK756" s="161"/>
    </row>
    <row r="757" spans="1:37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89"/>
      <c r="AJ757" s="161"/>
      <c r="AK757" s="161"/>
    </row>
    <row r="758" spans="1:37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89"/>
      <c r="AJ758" s="161"/>
      <c r="AK758" s="161"/>
    </row>
    <row r="759" spans="1:37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89"/>
      <c r="AJ759" s="161"/>
      <c r="AK759" s="161"/>
    </row>
    <row r="760" spans="1:37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89"/>
      <c r="AJ760" s="161"/>
      <c r="AK760" s="161"/>
    </row>
    <row r="761" spans="1:37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89"/>
      <c r="AJ761" s="161"/>
      <c r="AK761" s="161"/>
    </row>
    <row r="762" spans="1:37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89"/>
      <c r="AJ762" s="161"/>
      <c r="AK762" s="161"/>
    </row>
    <row r="763" spans="1:37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89"/>
      <c r="AJ763" s="161"/>
      <c r="AK763" s="161"/>
    </row>
    <row r="764" spans="1:37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89"/>
      <c r="AJ764" s="161"/>
      <c r="AK764" s="161"/>
    </row>
    <row r="765" spans="1:37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89"/>
      <c r="AJ765" s="161"/>
      <c r="AK765" s="161"/>
    </row>
    <row r="766" spans="1:37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89"/>
      <c r="AJ766" s="161"/>
      <c r="AK766" s="161"/>
    </row>
    <row r="767" spans="1:37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89"/>
      <c r="AJ767" s="161"/>
      <c r="AK767" s="161"/>
    </row>
    <row r="768" spans="1:37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89"/>
      <c r="AJ768" s="161"/>
      <c r="AK768" s="161"/>
    </row>
    <row r="769" spans="1:37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89"/>
      <c r="AJ769" s="161"/>
      <c r="AK769" s="161"/>
    </row>
    <row r="770" spans="1:37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89"/>
      <c r="AJ770" s="161"/>
      <c r="AK770" s="161"/>
    </row>
    <row r="771" spans="1:37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89"/>
      <c r="AJ771" s="161"/>
      <c r="AK771" s="161"/>
    </row>
    <row r="772" spans="1:37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89"/>
      <c r="AJ772" s="161"/>
      <c r="AK772" s="161"/>
    </row>
    <row r="773" spans="1:37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89"/>
      <c r="AJ773" s="161"/>
      <c r="AK773" s="161"/>
    </row>
    <row r="774" spans="1:37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89"/>
      <c r="AJ774" s="161"/>
      <c r="AK774" s="161"/>
    </row>
    <row r="775" spans="1:37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89"/>
      <c r="AJ775" s="161"/>
      <c r="AK775" s="161"/>
    </row>
    <row r="776" spans="1:37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89"/>
      <c r="AJ776" s="161"/>
      <c r="AK776" s="161"/>
    </row>
    <row r="777" spans="1:37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89"/>
      <c r="AJ777" s="161"/>
      <c r="AK777" s="161"/>
    </row>
    <row r="778" spans="1:37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89"/>
      <c r="AJ778" s="161"/>
      <c r="AK778" s="161"/>
    </row>
    <row r="779" spans="1:37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89"/>
      <c r="AJ779" s="161"/>
      <c r="AK779" s="161"/>
    </row>
    <row r="780" spans="1:37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89"/>
      <c r="AJ780" s="161"/>
      <c r="AK780" s="161"/>
    </row>
    <row r="781" spans="1:37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89"/>
      <c r="AJ781" s="161"/>
      <c r="AK781" s="161"/>
    </row>
    <row r="782" spans="1:37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89"/>
      <c r="AJ782" s="161"/>
      <c r="AK782" s="161"/>
    </row>
    <row r="783" spans="1:37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89"/>
      <c r="AJ783" s="161"/>
      <c r="AK783" s="161"/>
    </row>
    <row r="784" spans="1:37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89"/>
      <c r="AJ784" s="161"/>
      <c r="AK784" s="161"/>
    </row>
    <row r="785" spans="1:37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89"/>
      <c r="AJ785" s="161"/>
      <c r="AK785" s="161"/>
    </row>
    <row r="786" spans="1:37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89"/>
      <c r="AJ786" s="161"/>
      <c r="AK786" s="161"/>
    </row>
    <row r="787" spans="1:37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89"/>
      <c r="AJ787" s="161"/>
      <c r="AK787" s="161"/>
    </row>
    <row r="788" spans="1:37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89"/>
      <c r="AJ788" s="161"/>
      <c r="AK788" s="161"/>
    </row>
    <row r="789" spans="1:37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89"/>
      <c r="AJ789" s="161"/>
      <c r="AK789" s="161"/>
    </row>
    <row r="790" spans="1:37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89"/>
      <c r="AJ790" s="161"/>
      <c r="AK790" s="161"/>
    </row>
    <row r="791" spans="1:37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89"/>
      <c r="AJ791" s="161"/>
      <c r="AK791" s="161"/>
    </row>
    <row r="792" spans="1:37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89"/>
      <c r="AJ792" s="161"/>
      <c r="AK792" s="161"/>
    </row>
    <row r="793" spans="1:37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89"/>
      <c r="AJ793" s="161"/>
      <c r="AK793" s="161"/>
    </row>
    <row r="794" spans="1:37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89"/>
      <c r="AJ794" s="161"/>
      <c r="AK794" s="161"/>
    </row>
    <row r="795" spans="1:37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89"/>
      <c r="AJ795" s="161"/>
      <c r="AK795" s="161"/>
    </row>
    <row r="796" spans="1:37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89"/>
      <c r="AJ796" s="161"/>
      <c r="AK796" s="161"/>
    </row>
    <row r="797" spans="1:37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89"/>
      <c r="AJ797" s="161"/>
      <c r="AK797" s="161"/>
    </row>
    <row r="798" spans="1:37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89"/>
      <c r="AJ798" s="161"/>
      <c r="AK798" s="161"/>
    </row>
    <row r="799" spans="1:37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89"/>
      <c r="AJ799" s="161"/>
      <c r="AK799" s="161"/>
    </row>
    <row r="800" spans="1:37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89"/>
      <c r="AJ800" s="161"/>
      <c r="AK800" s="161"/>
    </row>
    <row r="801" spans="1:37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89"/>
      <c r="AJ801" s="161"/>
      <c r="AK801" s="161"/>
    </row>
  </sheetData>
  <mergeCells count="7">
    <mergeCell ref="AD2:AI2"/>
    <mergeCell ref="H2:K2"/>
    <mergeCell ref="A2:C2"/>
    <mergeCell ref="D2:G2"/>
    <mergeCell ref="L2:S2"/>
    <mergeCell ref="T2:AA2"/>
    <mergeCell ref="AB2:AC2"/>
  </mergeCells>
  <phoneticPr fontId="2" type="noConversion"/>
  <dataValidations count="2">
    <dataValidation type="list" allowBlank="1" showInputMessage="1" showErrorMessage="1" sqref="AK2">
      <formula1>"99应标,110商用简化,110商用完善,200商用"</formula1>
    </dataValidation>
    <dataValidation type="list" allowBlank="1" showInputMessage="1" showErrorMessage="1" sqref="AK7:AK801">
      <formula1>"满足,不满足"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C00000"/>
  </sheetPr>
  <dimension ref="A1:K163"/>
  <sheetViews>
    <sheetView workbookViewId="0">
      <pane ySplit="3" topLeftCell="A4" activePane="bottomLeft" state="frozen"/>
      <selection pane="bottomLeft" activeCell="L22" sqref="L22"/>
    </sheetView>
  </sheetViews>
  <sheetFormatPr defaultRowHeight="13.5"/>
  <cols>
    <col min="1" max="1" width="13.375" bestFit="1" customWidth="1"/>
    <col min="2" max="4" width="4.625" customWidth="1"/>
    <col min="5" max="5" width="5.75" customWidth="1"/>
    <col min="6" max="8" width="4.625" customWidth="1"/>
    <col min="9" max="9" width="5.75" customWidth="1"/>
    <col min="10" max="11" width="4.625" customWidth="1"/>
    <col min="13" max="31" width="8" customWidth="1"/>
    <col min="32" max="32" width="9.125" customWidth="1"/>
    <col min="33" max="33" width="8" customWidth="1"/>
    <col min="34" max="34" width="9.125" customWidth="1"/>
    <col min="35" max="35" width="8" customWidth="1"/>
    <col min="36" max="36" width="9.125" customWidth="1"/>
    <col min="37" max="37" width="8" customWidth="1"/>
    <col min="38" max="38" width="9.125" customWidth="1"/>
    <col min="39" max="39" width="8" customWidth="1"/>
    <col min="40" max="40" width="9.125" customWidth="1"/>
    <col min="41" max="41" width="8" customWidth="1"/>
    <col min="42" max="42" width="9.125" customWidth="1"/>
    <col min="43" max="43" width="8" customWidth="1"/>
    <col min="44" max="44" width="9.125" customWidth="1"/>
    <col min="45" max="45" width="8" customWidth="1"/>
    <col min="46" max="46" width="9.125" customWidth="1"/>
    <col min="47" max="47" width="8" customWidth="1"/>
    <col min="48" max="48" width="9.125" customWidth="1"/>
    <col min="49" max="49" width="8" customWidth="1"/>
    <col min="50" max="50" width="9.125" customWidth="1"/>
    <col min="51" max="51" width="8" customWidth="1"/>
    <col min="52" max="52" width="9.125" customWidth="1"/>
    <col min="53" max="53" width="8" customWidth="1"/>
    <col min="54" max="54" width="9.125" customWidth="1"/>
    <col min="55" max="55" width="8" customWidth="1"/>
    <col min="56" max="56" width="9.125" customWidth="1"/>
    <col min="57" max="57" width="8" customWidth="1"/>
    <col min="58" max="58" width="9.125" customWidth="1"/>
    <col min="59" max="59" width="8" customWidth="1"/>
    <col min="60" max="60" width="9.125" customWidth="1"/>
    <col min="61" max="61" width="8" customWidth="1"/>
    <col min="62" max="62" width="9.125" customWidth="1"/>
    <col min="63" max="63" width="8" customWidth="1"/>
    <col min="64" max="64" width="9.125" customWidth="1"/>
    <col min="65" max="65" width="8" customWidth="1"/>
    <col min="66" max="66" width="9.125" customWidth="1"/>
    <col min="67" max="67" width="8" customWidth="1"/>
    <col min="68" max="68" width="9.125" customWidth="1"/>
    <col min="69" max="69" width="8" customWidth="1"/>
    <col min="70" max="70" width="9.125" customWidth="1"/>
    <col min="71" max="71" width="8" customWidth="1"/>
    <col min="72" max="72" width="9.125" customWidth="1"/>
    <col min="73" max="73" width="8" customWidth="1"/>
    <col min="74" max="74" width="9.125" customWidth="1"/>
    <col min="75" max="75" width="8" customWidth="1"/>
    <col min="76" max="76" width="9.125" customWidth="1"/>
    <col min="77" max="77" width="8" customWidth="1"/>
    <col min="78" max="78" width="9.125" customWidth="1"/>
    <col min="79" max="79" width="8" customWidth="1"/>
    <col min="80" max="80" width="9.125" customWidth="1"/>
    <col min="81" max="81" width="8" customWidth="1"/>
    <col min="82" max="82" width="9.125" customWidth="1"/>
    <col min="83" max="83" width="8" customWidth="1"/>
    <col min="84" max="84" width="9.125" customWidth="1"/>
    <col min="85" max="85" width="8" customWidth="1"/>
    <col min="86" max="86" width="9.125" customWidth="1"/>
    <col min="87" max="87" width="8" customWidth="1"/>
    <col min="88" max="88" width="9.125" customWidth="1"/>
    <col min="89" max="89" width="8" customWidth="1"/>
    <col min="90" max="90" width="9.125" customWidth="1"/>
    <col min="91" max="91" width="8" customWidth="1"/>
    <col min="92" max="92" width="9.125" customWidth="1"/>
    <col min="93" max="93" width="8" customWidth="1"/>
    <col min="94" max="94" width="9.125" customWidth="1"/>
    <col min="95" max="95" width="8" customWidth="1"/>
    <col min="96" max="96" width="9.125" customWidth="1"/>
    <col min="97" max="97" width="8" customWidth="1"/>
    <col min="98" max="98" width="9.125" customWidth="1"/>
    <col min="99" max="99" width="8" customWidth="1"/>
    <col min="100" max="100" width="9.125" customWidth="1"/>
    <col min="101" max="101" width="8" customWidth="1"/>
    <col min="102" max="102" width="9.125" customWidth="1"/>
    <col min="103" max="103" width="8" customWidth="1"/>
    <col min="104" max="104" width="9.125" customWidth="1"/>
    <col min="105" max="105" width="8" customWidth="1"/>
    <col min="106" max="106" width="9.125" customWidth="1"/>
    <col min="107" max="107" width="8" customWidth="1"/>
    <col min="108" max="108" width="9.125" customWidth="1"/>
    <col min="109" max="109" width="8" customWidth="1"/>
    <col min="110" max="110" width="9.125" customWidth="1"/>
    <col min="111" max="111" width="8" customWidth="1"/>
    <col min="112" max="112" width="9.125" customWidth="1"/>
    <col min="113" max="113" width="8" customWidth="1"/>
    <col min="114" max="114" width="9.125" customWidth="1"/>
    <col min="115" max="115" width="8" customWidth="1"/>
    <col min="116" max="116" width="9.125" customWidth="1"/>
    <col min="117" max="117" width="8" customWidth="1"/>
    <col min="118" max="118" width="9.125" customWidth="1"/>
    <col min="119" max="119" width="8" customWidth="1"/>
    <col min="120" max="120" width="9.125" customWidth="1"/>
    <col min="121" max="121" width="8" customWidth="1"/>
    <col min="122" max="122" width="9.125" customWidth="1"/>
    <col min="123" max="123" width="8" customWidth="1"/>
    <col min="124" max="124" width="9.125" customWidth="1"/>
    <col min="125" max="125" width="8" customWidth="1"/>
    <col min="126" max="126" width="9.125" customWidth="1"/>
    <col min="127" max="127" width="8" customWidth="1"/>
    <col min="128" max="128" width="9.125" customWidth="1"/>
    <col min="129" max="129" width="8" customWidth="1"/>
    <col min="130" max="130" width="9.125" customWidth="1"/>
    <col min="131" max="131" width="8" customWidth="1"/>
    <col min="132" max="132" width="9.125" customWidth="1"/>
    <col min="133" max="133" width="8" customWidth="1"/>
    <col min="134" max="134" width="9.125" customWidth="1"/>
    <col min="135" max="135" width="8" customWidth="1"/>
    <col min="136" max="136" width="9.125" customWidth="1"/>
    <col min="137" max="137" width="8" customWidth="1"/>
    <col min="138" max="138" width="9.125" customWidth="1"/>
    <col min="139" max="139" width="8" customWidth="1"/>
    <col min="140" max="140" width="9.125" customWidth="1"/>
    <col min="141" max="141" width="8" customWidth="1"/>
    <col min="142" max="142" width="9.125" customWidth="1"/>
    <col min="143" max="143" width="8" customWidth="1"/>
    <col min="144" max="144" width="9.125" customWidth="1"/>
    <col min="145" max="145" width="8" customWidth="1"/>
    <col min="146" max="146" width="9.125" customWidth="1"/>
    <col min="147" max="147" width="8" customWidth="1"/>
    <col min="148" max="148" width="9.125" customWidth="1"/>
    <col min="149" max="149" width="8" customWidth="1"/>
    <col min="150" max="150" width="9.125" customWidth="1"/>
    <col min="151" max="151" width="8" customWidth="1"/>
    <col min="152" max="152" width="9.125" customWidth="1"/>
    <col min="153" max="153" width="8" customWidth="1"/>
    <col min="154" max="154" width="9.125" customWidth="1"/>
    <col min="155" max="155" width="8" customWidth="1"/>
    <col min="156" max="156" width="9.125" customWidth="1"/>
    <col min="157" max="157" width="8" customWidth="1"/>
    <col min="158" max="158" width="9.125" customWidth="1"/>
    <col min="159" max="159" width="8" customWidth="1"/>
    <col min="160" max="160" width="9.125" customWidth="1"/>
    <col min="161" max="161" width="8" customWidth="1"/>
    <col min="162" max="162" width="9.125" customWidth="1"/>
    <col min="163" max="163" width="8" customWidth="1"/>
    <col min="164" max="164" width="9.125" customWidth="1"/>
    <col min="165" max="165" width="8" customWidth="1"/>
    <col min="166" max="166" width="9.125" customWidth="1"/>
    <col min="167" max="167" width="8" customWidth="1"/>
    <col min="168" max="168" width="9.125" customWidth="1"/>
    <col min="169" max="169" width="8" customWidth="1"/>
    <col min="170" max="170" width="9.125" customWidth="1"/>
    <col min="171" max="171" width="8" customWidth="1"/>
    <col min="172" max="172" width="9.125" customWidth="1"/>
    <col min="173" max="173" width="8" customWidth="1"/>
    <col min="174" max="174" width="9.125" customWidth="1"/>
    <col min="175" max="175" width="8" customWidth="1"/>
    <col min="176" max="176" width="9.125" customWidth="1"/>
    <col min="177" max="177" width="8" customWidth="1"/>
    <col min="178" max="178" width="9.125" customWidth="1"/>
    <col min="179" max="179" width="8" customWidth="1"/>
    <col min="180" max="180" width="9.125" customWidth="1"/>
    <col min="181" max="181" width="8" customWidth="1"/>
    <col min="182" max="182" width="9.125" customWidth="1"/>
    <col min="183" max="183" width="8" customWidth="1"/>
    <col min="184" max="184" width="9.125" customWidth="1"/>
    <col min="185" max="185" width="8" customWidth="1"/>
    <col min="186" max="186" width="9.125" customWidth="1"/>
    <col min="187" max="187" width="8" customWidth="1"/>
    <col min="188" max="188" width="9.125" customWidth="1"/>
    <col min="189" max="189" width="8" customWidth="1"/>
    <col min="190" max="190" width="9.125" customWidth="1"/>
    <col min="191" max="191" width="8" customWidth="1"/>
    <col min="192" max="192" width="9.125" customWidth="1"/>
    <col min="193" max="193" width="8" customWidth="1"/>
    <col min="194" max="194" width="9.125" customWidth="1"/>
    <col min="195" max="195" width="8" customWidth="1"/>
    <col min="196" max="196" width="9.125" customWidth="1"/>
    <col min="197" max="197" width="8" customWidth="1"/>
    <col min="198" max="198" width="9.125" customWidth="1"/>
    <col min="199" max="199" width="8" customWidth="1"/>
    <col min="200" max="200" width="9.125" customWidth="1"/>
    <col min="201" max="201" width="8" customWidth="1"/>
    <col min="202" max="202" width="9.125" customWidth="1"/>
    <col min="203" max="203" width="8" customWidth="1"/>
    <col min="204" max="204" width="9.125" customWidth="1"/>
    <col min="205" max="205" width="8" customWidth="1"/>
    <col min="206" max="206" width="9.125" customWidth="1"/>
    <col min="207" max="207" width="8" customWidth="1"/>
    <col min="208" max="208" width="9.125" customWidth="1"/>
    <col min="209" max="209" width="8" customWidth="1"/>
    <col min="210" max="210" width="9.125" customWidth="1"/>
    <col min="211" max="211" width="8" customWidth="1"/>
    <col min="212" max="212" width="10.25" customWidth="1"/>
    <col min="213" max="213" width="8" customWidth="1"/>
    <col min="214" max="214" width="10.25" customWidth="1"/>
    <col min="215" max="215" width="8" customWidth="1"/>
    <col min="216" max="216" width="10.25" customWidth="1"/>
    <col min="217" max="217" width="8" customWidth="1"/>
    <col min="218" max="218" width="10.25" customWidth="1"/>
    <col min="219" max="219" width="8" customWidth="1"/>
    <col min="220" max="220" width="10.25" customWidth="1"/>
    <col min="221" max="221" width="8" customWidth="1"/>
    <col min="222" max="222" width="10.25" customWidth="1"/>
    <col min="223" max="223" width="8" customWidth="1"/>
    <col min="224" max="224" width="10.25" customWidth="1"/>
    <col min="225" max="225" width="8" customWidth="1"/>
    <col min="226" max="226" width="10.25" customWidth="1"/>
    <col min="227" max="227" width="8" customWidth="1"/>
    <col min="228" max="228" width="10.25" customWidth="1"/>
    <col min="229" max="229" width="8" customWidth="1"/>
    <col min="230" max="230" width="10.25" customWidth="1"/>
    <col min="231" max="231" width="8" customWidth="1"/>
    <col min="232" max="232" width="10.25" customWidth="1"/>
    <col min="233" max="233" width="8" customWidth="1"/>
    <col min="234" max="234" width="10.25" customWidth="1"/>
    <col min="235" max="235" width="8" customWidth="1"/>
    <col min="236" max="236" width="10.25" customWidth="1"/>
    <col min="237" max="237" width="8" customWidth="1"/>
    <col min="238" max="238" width="10.25" customWidth="1"/>
    <col min="239" max="239" width="8" customWidth="1"/>
    <col min="240" max="240" width="10.25" customWidth="1"/>
    <col min="241" max="241" width="8" customWidth="1"/>
    <col min="242" max="242" width="10.25" customWidth="1"/>
    <col min="243" max="243" width="8" customWidth="1"/>
    <col min="244" max="244" width="10.25" customWidth="1"/>
    <col min="245" max="245" width="8" customWidth="1"/>
    <col min="246" max="246" width="10.25" customWidth="1"/>
    <col min="247" max="247" width="8" customWidth="1"/>
    <col min="248" max="248" width="10.25" customWidth="1"/>
    <col min="249" max="249" width="8" customWidth="1"/>
    <col min="250" max="250" width="10.25" customWidth="1"/>
    <col min="251" max="251" width="8" customWidth="1"/>
    <col min="252" max="252" width="10.25" customWidth="1"/>
    <col min="253" max="253" width="8" customWidth="1"/>
    <col min="254" max="254" width="10.25" customWidth="1"/>
    <col min="255" max="255" width="8" customWidth="1"/>
    <col min="256" max="256" width="10.25" customWidth="1"/>
    <col min="257" max="257" width="8" customWidth="1"/>
    <col min="258" max="258" width="10.25" customWidth="1"/>
    <col min="259" max="259" width="8" customWidth="1"/>
    <col min="260" max="260" width="10.25" customWidth="1"/>
    <col min="261" max="261" width="8" customWidth="1"/>
    <col min="262" max="262" width="10.25" customWidth="1"/>
    <col min="263" max="263" width="8" customWidth="1"/>
    <col min="264" max="264" width="10.25" customWidth="1"/>
    <col min="265" max="265" width="8" customWidth="1"/>
    <col min="266" max="266" width="10.25" customWidth="1"/>
    <col min="267" max="267" width="8" customWidth="1"/>
    <col min="268" max="268" width="10.25" customWidth="1"/>
    <col min="269" max="269" width="8" customWidth="1"/>
    <col min="270" max="270" width="10.25" customWidth="1"/>
    <col min="271" max="271" width="8" customWidth="1"/>
    <col min="272" max="272" width="10.25" customWidth="1"/>
    <col min="273" max="273" width="8" customWidth="1"/>
    <col min="274" max="274" width="10.25" customWidth="1"/>
    <col min="275" max="275" width="8" customWidth="1"/>
    <col min="276" max="276" width="10.25" customWidth="1"/>
    <col min="277" max="277" width="8" customWidth="1"/>
    <col min="278" max="278" width="10.25" customWidth="1"/>
    <col min="279" max="279" width="8" customWidth="1"/>
    <col min="280" max="280" width="10.25" customWidth="1"/>
    <col min="281" max="281" width="8" customWidth="1"/>
    <col min="282" max="282" width="10.25" customWidth="1"/>
    <col min="283" max="283" width="8" customWidth="1"/>
    <col min="284" max="284" width="10.25" customWidth="1"/>
    <col min="285" max="285" width="8" customWidth="1"/>
    <col min="286" max="286" width="10.25" customWidth="1"/>
    <col min="287" max="287" width="8" customWidth="1"/>
    <col min="288" max="288" width="10.25" customWidth="1"/>
    <col min="289" max="289" width="8" customWidth="1"/>
    <col min="290" max="290" width="10.25" customWidth="1"/>
    <col min="291" max="291" width="8" customWidth="1"/>
    <col min="292" max="292" width="10.25" customWidth="1"/>
    <col min="293" max="293" width="8" customWidth="1"/>
    <col min="294" max="294" width="10.25" customWidth="1"/>
    <col min="295" max="295" width="8" customWidth="1"/>
    <col min="296" max="296" width="10.25" customWidth="1"/>
    <col min="297" max="297" width="8" customWidth="1"/>
    <col min="298" max="298" width="10.25" customWidth="1"/>
    <col min="299" max="299" width="8" customWidth="1"/>
    <col min="300" max="300" width="10.25" customWidth="1"/>
    <col min="301" max="301" width="8" customWidth="1"/>
    <col min="302" max="302" width="10.25" customWidth="1"/>
    <col min="303" max="303" width="8" customWidth="1"/>
    <col min="304" max="304" width="10.25" customWidth="1"/>
    <col min="305" max="305" width="8" customWidth="1"/>
    <col min="306" max="306" width="10.25" customWidth="1"/>
    <col min="307" max="307" width="8" customWidth="1"/>
    <col min="308" max="308" width="10.25" customWidth="1"/>
    <col min="309" max="309" width="8" customWidth="1"/>
    <col min="310" max="310" width="10.25" customWidth="1"/>
    <col min="311" max="311" width="8" customWidth="1"/>
    <col min="312" max="312" width="10.25" customWidth="1"/>
    <col min="313" max="313" width="8" customWidth="1"/>
    <col min="314" max="314" width="10.25" customWidth="1"/>
    <col min="315" max="315" width="8" customWidth="1"/>
    <col min="316" max="316" width="10.25" customWidth="1"/>
    <col min="317" max="317" width="8" customWidth="1"/>
    <col min="318" max="318" width="10.25" customWidth="1"/>
    <col min="319" max="319" width="8" customWidth="1"/>
    <col min="320" max="320" width="10.25" customWidth="1"/>
    <col min="321" max="321" width="8" customWidth="1"/>
    <col min="322" max="322" width="10.25" customWidth="1"/>
    <col min="323" max="323" width="8" customWidth="1"/>
    <col min="324" max="324" width="10.25" customWidth="1"/>
    <col min="325" max="325" width="8" customWidth="1"/>
    <col min="326" max="326" width="10.25" customWidth="1"/>
    <col min="327" max="327" width="8" customWidth="1"/>
    <col min="328" max="328" width="10.25" customWidth="1"/>
    <col min="329" max="329" width="8" customWidth="1"/>
    <col min="330" max="330" width="10.25" customWidth="1"/>
    <col min="331" max="331" width="5.75" customWidth="1"/>
  </cols>
  <sheetData>
    <row r="1" spans="1:11">
      <c r="A1" s="203" t="s">
        <v>112</v>
      </c>
      <c r="B1" s="199"/>
      <c r="C1" s="199"/>
      <c r="D1" s="199"/>
      <c r="E1" s="199"/>
      <c r="F1" s="199"/>
      <c r="G1" s="199"/>
      <c r="H1" s="199"/>
      <c r="I1" s="199"/>
      <c r="J1" s="199"/>
      <c r="K1" s="199"/>
    </row>
    <row r="2" spans="1:11">
      <c r="A2" s="160" t="s">
        <v>79</v>
      </c>
      <c r="B2" s="200" t="s">
        <v>277</v>
      </c>
      <c r="C2" s="201"/>
      <c r="D2" s="200" t="s">
        <v>278</v>
      </c>
      <c r="E2" s="202"/>
      <c r="F2" s="202"/>
      <c r="G2" s="201"/>
      <c r="H2" s="200" t="s">
        <v>279</v>
      </c>
      <c r="I2" s="202"/>
      <c r="J2" s="202"/>
      <c r="K2" s="201"/>
    </row>
    <row r="3" spans="1:11">
      <c r="A3" s="159" t="s">
        <v>286</v>
      </c>
      <c r="B3" s="155" t="s">
        <v>87</v>
      </c>
      <c r="C3" s="155" t="s">
        <v>276</v>
      </c>
      <c r="D3" s="155" t="s">
        <v>285</v>
      </c>
      <c r="E3" s="155" t="s">
        <v>274</v>
      </c>
      <c r="F3" s="155" t="s">
        <v>275</v>
      </c>
      <c r="G3" s="156" t="s">
        <v>282</v>
      </c>
      <c r="H3" s="155" t="s">
        <v>273</v>
      </c>
      <c r="I3" s="155" t="s">
        <v>274</v>
      </c>
      <c r="J3" s="155" t="s">
        <v>275</v>
      </c>
      <c r="K3" s="156" t="s">
        <v>282</v>
      </c>
    </row>
    <row r="4" spans="1:11">
      <c r="A4" s="3">
        <v>0</v>
      </c>
      <c r="B4" s="1"/>
      <c r="C4" s="1"/>
      <c r="D4" s="1"/>
      <c r="E4" s="1"/>
      <c r="F4" s="1"/>
      <c r="G4" s="1"/>
      <c r="H4" s="1"/>
      <c r="I4" s="1"/>
      <c r="J4" s="1"/>
      <c r="K4" s="1"/>
    </row>
    <row r="5" spans="1:11">
      <c r="A5" s="3">
        <v>1</v>
      </c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>
      <c r="A6" s="3">
        <v>2</v>
      </c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>
      <c r="A7" s="3">
        <v>3</v>
      </c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>
      <c r="A8" s="3">
        <v>4</v>
      </c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>
      <c r="A9" s="3">
        <v>5</v>
      </c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>
      <c r="A10" s="3">
        <v>6</v>
      </c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>
      <c r="A11" s="3">
        <v>7</v>
      </c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>
      <c r="A12" s="3">
        <v>8</v>
      </c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>
      <c r="A13" s="3">
        <v>9</v>
      </c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>
      <c r="A14" s="3">
        <v>10</v>
      </c>
      <c r="B14" s="1"/>
      <c r="C14" s="1"/>
      <c r="D14" s="1"/>
      <c r="E14" s="1"/>
      <c r="F14" s="1"/>
      <c r="G14" s="1">
        <v>3</v>
      </c>
      <c r="H14" s="1"/>
      <c r="I14" s="1"/>
      <c r="J14" s="1"/>
      <c r="K14" s="1"/>
    </row>
    <row r="15" spans="1:11">
      <c r="A15" s="3">
        <v>11</v>
      </c>
      <c r="B15" s="1"/>
      <c r="C15" s="1"/>
      <c r="D15" s="1">
        <v>24</v>
      </c>
      <c r="E15" s="1"/>
      <c r="F15" s="1"/>
      <c r="G15" s="1"/>
      <c r="H15" s="1"/>
      <c r="I15" s="1"/>
      <c r="J15" s="1"/>
      <c r="K15" s="1"/>
    </row>
    <row r="16" spans="1:11">
      <c r="A16" s="3">
        <v>12</v>
      </c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>
      <c r="A17" s="3">
        <v>13</v>
      </c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>
      <c r="A18" s="3">
        <v>14</v>
      </c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>
      <c r="A19" s="3">
        <v>15</v>
      </c>
      <c r="B19" s="1"/>
      <c r="C19" s="1"/>
      <c r="D19" s="1"/>
      <c r="E19" s="1">
        <v>45</v>
      </c>
      <c r="F19" s="1"/>
      <c r="G19" s="1"/>
      <c r="H19" s="1"/>
      <c r="I19" s="1"/>
      <c r="J19" s="1"/>
      <c r="K19" s="1"/>
    </row>
    <row r="20" spans="1:11">
      <c r="A20" s="3">
        <v>16</v>
      </c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>
      <c r="A21" s="3">
        <v>17</v>
      </c>
      <c r="B21" s="1">
        <v>8</v>
      </c>
      <c r="C21" s="1"/>
      <c r="D21" s="1"/>
      <c r="E21" s="1"/>
      <c r="F21" s="1"/>
      <c r="G21" s="1"/>
      <c r="H21" s="1"/>
      <c r="I21" s="1"/>
      <c r="J21" s="1"/>
      <c r="K21" s="1"/>
    </row>
    <row r="22" spans="1:11">
      <c r="A22" s="3">
        <v>18</v>
      </c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>
      <c r="A23" s="3">
        <v>19</v>
      </c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>
      <c r="A24" s="3">
        <v>20</v>
      </c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>
      <c r="A25" s="3">
        <v>21</v>
      </c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>
      <c r="A26" s="3">
        <v>22</v>
      </c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>
      <c r="A27" s="3">
        <v>23</v>
      </c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>
      <c r="A28" s="3">
        <v>24</v>
      </c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>
      <c r="A29" s="3">
        <v>25</v>
      </c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>
      <c r="A30" s="3">
        <v>26</v>
      </c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>
      <c r="A31" s="3">
        <v>27</v>
      </c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>
      <c r="A32" s="3">
        <v>28</v>
      </c>
      <c r="B32" s="1"/>
      <c r="C32" s="1"/>
      <c r="D32" s="1"/>
      <c r="E32" s="1"/>
      <c r="F32" s="1"/>
      <c r="G32" s="1">
        <v>5</v>
      </c>
      <c r="H32" s="1"/>
      <c r="I32" s="1"/>
      <c r="J32" s="1"/>
      <c r="K32" s="1"/>
    </row>
    <row r="33" spans="1:11">
      <c r="A33" s="3">
        <v>29</v>
      </c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>
      <c r="A34" s="3">
        <v>30</v>
      </c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>
      <c r="A35" s="3">
        <v>31</v>
      </c>
      <c r="B35" s="1">
        <v>9</v>
      </c>
      <c r="C35" s="1"/>
      <c r="D35" s="1"/>
      <c r="E35" s="1"/>
      <c r="F35" s="1"/>
      <c r="G35" s="1"/>
      <c r="H35" s="1"/>
      <c r="I35" s="1"/>
      <c r="J35" s="1"/>
      <c r="K35" s="1"/>
    </row>
    <row r="36" spans="1:11">
      <c r="A36" s="3">
        <v>32</v>
      </c>
      <c r="B36" s="1"/>
      <c r="C36" s="1"/>
      <c r="D36" s="1">
        <v>35</v>
      </c>
      <c r="E36" s="1"/>
      <c r="F36" s="1"/>
      <c r="G36" s="1"/>
      <c r="H36" s="1"/>
      <c r="I36" s="1"/>
      <c r="J36" s="1"/>
      <c r="K36" s="1"/>
    </row>
    <row r="37" spans="1:11">
      <c r="A37" s="3">
        <v>33</v>
      </c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>
      <c r="A38" s="3">
        <v>34</v>
      </c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>
      <c r="A39" s="3">
        <v>35</v>
      </c>
      <c r="B39" s="1"/>
      <c r="C39" s="1"/>
      <c r="D39" s="1"/>
      <c r="E39" s="1">
        <v>32</v>
      </c>
      <c r="F39" s="1"/>
      <c r="G39" s="1"/>
      <c r="H39" s="1"/>
      <c r="I39" s="1"/>
      <c r="J39" s="1"/>
      <c r="K39" s="1"/>
    </row>
    <row r="40" spans="1:11">
      <c r="A40" s="3">
        <v>36</v>
      </c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>
      <c r="A41" s="3">
        <v>37</v>
      </c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>
      <c r="A42" s="3">
        <v>38</v>
      </c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>
      <c r="A43" s="3">
        <v>39</v>
      </c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>
      <c r="A44" s="3">
        <v>40</v>
      </c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>
      <c r="A45" s="3">
        <v>41</v>
      </c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>
      <c r="A46" s="3">
        <v>42</v>
      </c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>
      <c r="A47" s="3">
        <v>43</v>
      </c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>
      <c r="A48" s="3">
        <v>44</v>
      </c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>
      <c r="A49" s="3">
        <v>45</v>
      </c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>
      <c r="A50" s="3">
        <v>46</v>
      </c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>
      <c r="A51" s="3">
        <v>47</v>
      </c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>
      <c r="A52" s="3">
        <v>48</v>
      </c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>
      <c r="A53" s="3">
        <v>49</v>
      </c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>
      <c r="A54" s="3">
        <v>50</v>
      </c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>
      <c r="A55" s="3">
        <v>51</v>
      </c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>
      <c r="A56" s="3">
        <v>52</v>
      </c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>
      <c r="A57" s="3">
        <v>53</v>
      </c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>
      <c r="A58" s="3">
        <v>54</v>
      </c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>
      <c r="A59" s="3">
        <v>55</v>
      </c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>
      <c r="A60" s="3">
        <v>56</v>
      </c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>
      <c r="A61" s="3">
        <v>57</v>
      </c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>
      <c r="A62" s="3">
        <v>58</v>
      </c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>
      <c r="A63" s="3">
        <v>59</v>
      </c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>
      <c r="A64" s="3">
        <v>60</v>
      </c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>
      <c r="A65" s="3">
        <v>61</v>
      </c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>
      <c r="A66" s="3">
        <v>62</v>
      </c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>
      <c r="A67" s="3">
        <v>63</v>
      </c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>
      <c r="A68" s="3">
        <v>64</v>
      </c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>
      <c r="A69" s="3">
        <v>65</v>
      </c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>
      <c r="A70" s="3">
        <v>66</v>
      </c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>
      <c r="A71" s="3">
        <v>67</v>
      </c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>
      <c r="A72" s="3">
        <v>68</v>
      </c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>
      <c r="A73" s="3">
        <v>69</v>
      </c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>
      <c r="A74" s="3">
        <v>70</v>
      </c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>
      <c r="A75" s="3">
        <v>71</v>
      </c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>
      <c r="A76" s="3">
        <v>72</v>
      </c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>
      <c r="A77" s="3">
        <v>73</v>
      </c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>
      <c r="A78" s="3">
        <v>74</v>
      </c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>
      <c r="A79" s="3">
        <v>75</v>
      </c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>
      <c r="A80" s="3">
        <v>76</v>
      </c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>
      <c r="A81" s="3">
        <v>77</v>
      </c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>
      <c r="A82" s="3">
        <v>78</v>
      </c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>
      <c r="A83" s="3">
        <v>79</v>
      </c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>
      <c r="A84" s="3">
        <v>80</v>
      </c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>
      <c r="A85" s="3">
        <v>81</v>
      </c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>
      <c r="A86" s="3">
        <v>82</v>
      </c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>
      <c r="A87" s="3">
        <v>83</v>
      </c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>
      <c r="A88" s="3">
        <v>84</v>
      </c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>
      <c r="A89" s="3">
        <v>85</v>
      </c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>
      <c r="A90" s="3">
        <v>86</v>
      </c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>
      <c r="A91" s="3">
        <v>87</v>
      </c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>
      <c r="A92" s="3">
        <v>88</v>
      </c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>
      <c r="A93" s="3">
        <v>89</v>
      </c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>
      <c r="A94" s="3">
        <v>90</v>
      </c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>
      <c r="A95" s="3">
        <v>91</v>
      </c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>
      <c r="A96" s="3">
        <v>92</v>
      </c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>
      <c r="A97" s="3">
        <v>93</v>
      </c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>
      <c r="A98" s="3">
        <v>94</v>
      </c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>
      <c r="A99" s="3">
        <v>95</v>
      </c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>
      <c r="A100" s="3">
        <v>96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>
      <c r="A101" s="3">
        <v>97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>
      <c r="A102" s="3">
        <v>98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>
      <c r="A103" s="3">
        <v>99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>
      <c r="A104" s="3">
        <v>100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>
      <c r="A105" s="3">
        <v>101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>
      <c r="A106" s="3">
        <v>102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>
      <c r="A107" s="3">
        <v>103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>
      <c r="A108" s="3">
        <v>104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>
      <c r="A109" s="3">
        <v>105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>
      <c r="A110" s="3">
        <v>106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>
      <c r="A111" s="3">
        <v>107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>
      <c r="A112" s="3">
        <v>108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>
      <c r="A113" s="3">
        <v>109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>
      <c r="A114" s="3">
        <v>110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>
      <c r="A115" s="3">
        <v>111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>
      <c r="A116" s="3">
        <v>112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>
      <c r="A117" s="3">
        <v>113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>
      <c r="A118" s="3">
        <v>114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>
      <c r="A119" s="3">
        <v>115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>
      <c r="A120" s="3">
        <v>116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>
      <c r="A121" s="3">
        <v>117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>
      <c r="A122" s="3">
        <v>118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>
      <c r="A123" s="3">
        <v>119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>
      <c r="A124" s="3">
        <v>120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>
      <c r="A125" s="3">
        <v>121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>
      <c r="A126" s="3">
        <v>122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>
      <c r="A127" s="3">
        <v>123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>
      <c r="A128" s="3">
        <v>124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>
      <c r="A129" s="3">
        <v>125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>
      <c r="A130" s="3">
        <v>126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>
      <c r="A131" s="3">
        <v>127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>
      <c r="A132" s="3">
        <v>128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>
      <c r="A133" s="3">
        <v>129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>
      <c r="A134" s="3">
        <v>130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>
      <c r="A135" s="3">
        <v>131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>
      <c r="A136" s="3">
        <v>132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>
      <c r="A137" s="3">
        <v>133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>
      <c r="A138" s="3">
        <v>134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>
      <c r="A139" s="3">
        <v>135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>
      <c r="A140" s="3">
        <v>136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>
      <c r="A141" s="3">
        <v>137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>
      <c r="A142" s="3">
        <v>138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>
      <c r="A143" s="3">
        <v>139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>
      <c r="A144" s="3">
        <v>140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>
      <c r="A145" s="3">
        <v>141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>
      <c r="A146" s="3">
        <v>142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>
      <c r="A147" s="3">
        <v>143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>
      <c r="A148" s="3">
        <v>144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>
      <c r="A149" s="3">
        <v>145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>
      <c r="A150" s="3">
        <v>146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>
      <c r="A151" s="3">
        <v>147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>
      <c r="A152" s="3">
        <v>148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>
      <c r="A153" s="3">
        <v>149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>
      <c r="A154" s="3">
        <v>150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>
      <c r="A155" s="3">
        <v>151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>
      <c r="A156" s="3">
        <v>152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>
      <c r="A157" s="3">
        <v>153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>
      <c r="A158" s="3">
        <v>154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>
      <c r="A159" s="3">
        <v>155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>
      <c r="A160" s="3">
        <v>156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>
      <c r="A161" s="3">
        <v>157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>
      <c r="A162" s="3">
        <v>158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>
      <c r="A163" s="3">
        <v>159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</row>
  </sheetData>
  <mergeCells count="4">
    <mergeCell ref="B2:C2"/>
    <mergeCell ref="D2:G2"/>
    <mergeCell ref="H2:K2"/>
    <mergeCell ref="A1:K1"/>
  </mergeCells>
  <phoneticPr fontId="2" type="noConversion"/>
  <dataValidations disablePrompts="1" count="1">
    <dataValidation type="whole" showDropDown="1" showInputMessage="1" showErrorMessage="1" sqref="H27">
      <formula1>0</formula1>
      <formula2>1200</formula2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C00000"/>
  </sheetPr>
  <dimension ref="A1:K163"/>
  <sheetViews>
    <sheetView workbookViewId="0">
      <selection sqref="A1:G1"/>
    </sheetView>
  </sheetViews>
  <sheetFormatPr defaultRowHeight="13.5"/>
  <cols>
    <col min="1" max="1" width="13.375" bestFit="1" customWidth="1"/>
    <col min="2" max="4" width="4.625" customWidth="1"/>
    <col min="5" max="5" width="6.125" customWidth="1"/>
    <col min="6" max="8" width="4.625" customWidth="1"/>
    <col min="9" max="9" width="5.875" customWidth="1"/>
    <col min="10" max="11" width="4.625" customWidth="1"/>
  </cols>
  <sheetData>
    <row r="1" spans="1:11">
      <c r="A1" s="203" t="s">
        <v>283</v>
      </c>
      <c r="B1" s="199"/>
      <c r="C1" s="199"/>
      <c r="D1" s="199"/>
      <c r="E1" s="199"/>
      <c r="F1" s="199"/>
      <c r="G1" s="206"/>
      <c r="H1" s="205" t="s">
        <v>287</v>
      </c>
      <c r="I1" s="205"/>
      <c r="J1" s="204"/>
      <c r="K1" s="204"/>
    </row>
    <row r="2" spans="1:11">
      <c r="A2" s="160" t="s">
        <v>79</v>
      </c>
      <c r="B2" s="200" t="s">
        <v>277</v>
      </c>
      <c r="C2" s="201"/>
      <c r="D2" s="200" t="s">
        <v>278</v>
      </c>
      <c r="E2" s="202"/>
      <c r="F2" s="202"/>
      <c r="G2" s="201"/>
      <c r="H2" s="205" t="s">
        <v>279</v>
      </c>
      <c r="I2" s="205"/>
      <c r="J2" s="205"/>
      <c r="K2" s="205"/>
    </row>
    <row r="3" spans="1:11">
      <c r="A3" s="159" t="s">
        <v>286</v>
      </c>
      <c r="B3" s="155" t="s">
        <v>87</v>
      </c>
      <c r="C3" s="155" t="s">
        <v>276</v>
      </c>
      <c r="D3" s="155" t="s">
        <v>273</v>
      </c>
      <c r="E3" s="155" t="s">
        <v>274</v>
      </c>
      <c r="F3" s="155" t="s">
        <v>275</v>
      </c>
      <c r="G3" s="156" t="s">
        <v>282</v>
      </c>
      <c r="H3" s="155" t="s">
        <v>273</v>
      </c>
      <c r="I3" s="155" t="s">
        <v>274</v>
      </c>
      <c r="J3" s="155" t="s">
        <v>275</v>
      </c>
      <c r="K3" s="155" t="s">
        <v>282</v>
      </c>
    </row>
    <row r="4" spans="1:11">
      <c r="A4" s="3">
        <v>0</v>
      </c>
      <c r="B4" s="1"/>
      <c r="C4" s="1"/>
      <c r="D4" s="1"/>
      <c r="E4" s="1"/>
      <c r="F4" s="1"/>
      <c r="G4" s="1"/>
      <c r="H4" s="1"/>
      <c r="I4" s="1"/>
      <c r="J4" s="1"/>
      <c r="K4" s="1"/>
    </row>
    <row r="5" spans="1:11">
      <c r="A5" s="3">
        <v>1</v>
      </c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>
      <c r="A6" s="3">
        <v>2</v>
      </c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>
      <c r="A7" s="3">
        <v>3</v>
      </c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>
      <c r="A8" s="3">
        <v>4</v>
      </c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>
      <c r="A9" s="3">
        <v>5</v>
      </c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>
      <c r="A10" s="3">
        <v>6</v>
      </c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>
      <c r="A11" s="3">
        <v>7</v>
      </c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>
      <c r="A12" s="3">
        <v>8</v>
      </c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>
      <c r="A13" s="3">
        <v>9</v>
      </c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>
      <c r="A14" s="3">
        <v>10</v>
      </c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>
      <c r="A15" s="3">
        <v>11</v>
      </c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>
      <c r="A16" s="3">
        <v>12</v>
      </c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>
      <c r="A17" s="3">
        <v>13</v>
      </c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>
      <c r="A18" s="3">
        <v>14</v>
      </c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>
      <c r="A19" s="3">
        <v>15</v>
      </c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>
      <c r="A20" s="3">
        <v>16</v>
      </c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>
      <c r="A21" s="3">
        <v>17</v>
      </c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>
      <c r="A22" s="3">
        <v>18</v>
      </c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>
      <c r="A23" s="3">
        <v>19</v>
      </c>
      <c r="B23" s="1"/>
      <c r="C23" s="1"/>
      <c r="D23" s="1">
        <v>1</v>
      </c>
      <c r="E23" s="1"/>
      <c r="F23" s="1"/>
      <c r="G23" s="1"/>
      <c r="H23" s="1"/>
      <c r="I23" s="1"/>
      <c r="J23" s="1"/>
      <c r="K23" s="1"/>
    </row>
    <row r="24" spans="1:11">
      <c r="A24" s="3">
        <v>20</v>
      </c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>
      <c r="A25" s="3">
        <v>21</v>
      </c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>
      <c r="A26" s="3">
        <v>22</v>
      </c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>
      <c r="A27" s="3">
        <v>23</v>
      </c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>
      <c r="A28" s="3">
        <v>24</v>
      </c>
      <c r="B28" s="1"/>
      <c r="C28" s="1"/>
      <c r="D28" s="1">
        <v>1</v>
      </c>
      <c r="E28" s="1"/>
      <c r="F28" s="1"/>
      <c r="G28" s="1"/>
      <c r="H28" s="1"/>
      <c r="I28" s="1"/>
      <c r="J28" s="1"/>
      <c r="K28" s="1"/>
    </row>
    <row r="29" spans="1:11">
      <c r="A29" s="3">
        <v>25</v>
      </c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>
      <c r="A30" s="3">
        <v>26</v>
      </c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>
      <c r="A31" s="3">
        <v>27</v>
      </c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>
      <c r="A32" s="3">
        <v>28</v>
      </c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>
      <c r="A33" s="3">
        <v>29</v>
      </c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>
      <c r="A34" s="3">
        <v>30</v>
      </c>
      <c r="B34" s="1"/>
      <c r="C34" s="83"/>
      <c r="D34" s="1"/>
      <c r="E34" s="1"/>
      <c r="F34" s="1"/>
      <c r="G34" s="1"/>
      <c r="H34" s="1"/>
      <c r="I34" s="1"/>
      <c r="J34" s="1"/>
      <c r="K34" s="1"/>
    </row>
    <row r="35" spans="1:11">
      <c r="A35" s="3">
        <v>31</v>
      </c>
      <c r="B35" s="1"/>
      <c r="C35" s="83"/>
      <c r="D35" s="1"/>
      <c r="E35" s="1"/>
      <c r="F35" s="1"/>
      <c r="G35" s="1"/>
      <c r="H35" s="1"/>
      <c r="I35" s="1"/>
      <c r="J35" s="1"/>
      <c r="K35" s="1"/>
    </row>
    <row r="36" spans="1:11">
      <c r="A36" s="3">
        <v>32</v>
      </c>
      <c r="B36" s="1"/>
      <c r="C36" s="83"/>
      <c r="D36" s="1"/>
      <c r="E36" s="1"/>
      <c r="F36" s="1"/>
      <c r="G36" s="1"/>
      <c r="H36" s="1"/>
      <c r="I36" s="1"/>
      <c r="J36" s="1"/>
      <c r="K36" s="1"/>
    </row>
    <row r="37" spans="1:11">
      <c r="A37" s="3">
        <v>33</v>
      </c>
      <c r="B37" s="1"/>
      <c r="C37" s="83"/>
      <c r="D37" s="1"/>
      <c r="E37" s="1"/>
      <c r="F37" s="1"/>
      <c r="G37" s="1"/>
      <c r="H37" s="1"/>
      <c r="I37" s="1"/>
      <c r="J37" s="1"/>
      <c r="K37" s="1"/>
    </row>
    <row r="38" spans="1:11">
      <c r="A38" s="3">
        <v>34</v>
      </c>
      <c r="B38" s="1"/>
      <c r="C38" s="83"/>
      <c r="D38" s="1"/>
      <c r="E38" s="1"/>
      <c r="F38" s="1"/>
      <c r="G38" s="1"/>
      <c r="H38" s="1"/>
      <c r="I38" s="1"/>
      <c r="J38" s="1"/>
      <c r="K38" s="1"/>
    </row>
    <row r="39" spans="1:11">
      <c r="A39" s="3">
        <v>35</v>
      </c>
      <c r="B39" s="1"/>
      <c r="C39" s="83"/>
      <c r="D39" s="1"/>
      <c r="E39" s="1"/>
      <c r="F39" s="1"/>
      <c r="G39" s="1"/>
      <c r="H39" s="1"/>
      <c r="I39" s="1"/>
      <c r="J39" s="1"/>
      <c r="K39" s="1"/>
    </row>
    <row r="40" spans="1:11">
      <c r="A40" s="3">
        <v>36</v>
      </c>
      <c r="B40" s="84"/>
      <c r="C40" s="83"/>
      <c r="D40" s="1"/>
      <c r="E40" s="1"/>
      <c r="F40" s="1"/>
      <c r="G40" s="1"/>
      <c r="H40" s="1"/>
      <c r="I40" s="1"/>
      <c r="J40" s="1"/>
      <c r="K40" s="1"/>
    </row>
    <row r="41" spans="1:11">
      <c r="A41" s="3">
        <v>37</v>
      </c>
      <c r="B41" s="84"/>
      <c r="C41" s="83"/>
      <c r="D41" s="1"/>
      <c r="E41" s="1"/>
      <c r="F41" s="1"/>
      <c r="G41" s="1"/>
      <c r="H41" s="1"/>
      <c r="I41" s="1"/>
      <c r="J41" s="1"/>
      <c r="K41" s="1"/>
    </row>
    <row r="42" spans="1:11">
      <c r="A42" s="3">
        <v>38</v>
      </c>
      <c r="B42" s="84"/>
      <c r="C42" s="83"/>
      <c r="D42" s="1"/>
      <c r="E42" s="1"/>
      <c r="F42" s="1"/>
      <c r="G42" s="1"/>
      <c r="H42" s="1"/>
      <c r="I42" s="1"/>
      <c r="J42" s="1"/>
      <c r="K42" s="1"/>
    </row>
    <row r="43" spans="1:11">
      <c r="A43" s="3">
        <v>39</v>
      </c>
      <c r="B43" s="84"/>
      <c r="C43" s="83"/>
      <c r="D43" s="1"/>
      <c r="E43" s="1"/>
      <c r="F43" s="1"/>
      <c r="G43" s="1"/>
      <c r="H43" s="1"/>
      <c r="I43" s="1"/>
      <c r="J43" s="1"/>
      <c r="K43" s="1"/>
    </row>
    <row r="44" spans="1:11">
      <c r="A44" s="3">
        <v>40</v>
      </c>
      <c r="B44" s="84"/>
      <c r="C44" s="83"/>
      <c r="D44" s="1"/>
      <c r="E44" s="1"/>
      <c r="F44" s="1"/>
      <c r="G44" s="1"/>
      <c r="H44" s="1"/>
      <c r="I44" s="1"/>
      <c r="J44" s="1"/>
      <c r="K44" s="1"/>
    </row>
    <row r="45" spans="1:11">
      <c r="A45" s="3">
        <v>41</v>
      </c>
      <c r="B45" s="84"/>
      <c r="C45" s="83"/>
      <c r="D45" s="1"/>
      <c r="E45" s="1"/>
      <c r="F45" s="1"/>
      <c r="G45" s="1"/>
      <c r="H45" s="1"/>
      <c r="I45" s="1"/>
      <c r="J45" s="1"/>
      <c r="K45" s="1"/>
    </row>
    <row r="46" spans="1:11">
      <c r="A46" s="3">
        <v>42</v>
      </c>
      <c r="B46" s="84"/>
      <c r="C46" s="83"/>
      <c r="D46" s="1"/>
      <c r="E46" s="1"/>
      <c r="F46" s="1"/>
      <c r="G46" s="1"/>
      <c r="H46" s="1"/>
      <c r="I46" s="1"/>
      <c r="J46" s="1"/>
      <c r="K46" s="1"/>
    </row>
    <row r="47" spans="1:11">
      <c r="A47" s="3">
        <v>43</v>
      </c>
      <c r="B47" s="84"/>
      <c r="C47" s="83"/>
      <c r="D47" s="1"/>
      <c r="E47" s="1"/>
      <c r="F47" s="1"/>
      <c r="G47" s="1"/>
      <c r="H47" s="1"/>
      <c r="I47" s="1"/>
      <c r="J47" s="1"/>
      <c r="K47" s="1"/>
    </row>
    <row r="48" spans="1:11">
      <c r="A48" s="3">
        <v>44</v>
      </c>
      <c r="B48" s="84"/>
      <c r="C48" s="83"/>
      <c r="D48" s="1"/>
      <c r="E48" s="1"/>
      <c r="F48" s="1"/>
      <c r="G48" s="1"/>
      <c r="H48" s="1"/>
      <c r="I48" s="1"/>
      <c r="J48" s="1"/>
      <c r="K48" s="1"/>
    </row>
    <row r="49" spans="1:11">
      <c r="A49" s="3">
        <v>45</v>
      </c>
      <c r="B49" s="84"/>
      <c r="C49" s="83"/>
      <c r="D49" s="1"/>
      <c r="E49" s="1"/>
      <c r="F49" s="1"/>
      <c r="G49" s="1"/>
      <c r="H49" s="1"/>
      <c r="I49" s="1"/>
      <c r="J49" s="1"/>
      <c r="K49" s="1"/>
    </row>
    <row r="50" spans="1:11">
      <c r="A50" s="3">
        <v>46</v>
      </c>
      <c r="B50" s="84"/>
      <c r="C50" s="83"/>
      <c r="D50" s="1"/>
      <c r="E50" s="1"/>
      <c r="F50" s="1"/>
      <c r="G50" s="1"/>
      <c r="H50" s="1"/>
      <c r="I50" s="1"/>
      <c r="J50" s="1"/>
      <c r="K50" s="1"/>
    </row>
    <row r="51" spans="1:11">
      <c r="A51" s="3">
        <v>47</v>
      </c>
      <c r="B51" s="84"/>
      <c r="C51" s="83"/>
      <c r="D51" s="1"/>
      <c r="E51" s="1"/>
      <c r="F51" s="1"/>
      <c r="G51" s="1"/>
      <c r="H51" s="1"/>
      <c r="I51" s="1"/>
      <c r="J51" s="1"/>
      <c r="K51" s="1"/>
    </row>
    <row r="52" spans="1:11">
      <c r="A52" s="3">
        <v>48</v>
      </c>
      <c r="B52" s="1"/>
      <c r="C52" s="83"/>
      <c r="D52" s="1"/>
      <c r="E52" s="1"/>
      <c r="F52" s="1"/>
      <c r="G52" s="1"/>
      <c r="H52" s="1"/>
      <c r="I52" s="1"/>
      <c r="J52" s="1"/>
      <c r="K52" s="1"/>
    </row>
    <row r="53" spans="1:11">
      <c r="A53" s="3">
        <v>49</v>
      </c>
      <c r="B53" s="1"/>
      <c r="C53" s="83"/>
      <c r="D53" s="1"/>
      <c r="E53" s="1"/>
      <c r="F53" s="1"/>
      <c r="G53" s="1"/>
      <c r="H53" s="1"/>
      <c r="I53" s="1"/>
      <c r="J53" s="1"/>
      <c r="K53" s="1"/>
    </row>
    <row r="54" spans="1:11">
      <c r="A54" s="3">
        <v>50</v>
      </c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>
      <c r="A55" s="3">
        <v>51</v>
      </c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>
      <c r="A56" s="3">
        <v>52</v>
      </c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>
      <c r="A57" s="3">
        <v>53</v>
      </c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>
      <c r="A58" s="3">
        <v>54</v>
      </c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>
      <c r="A59" s="3">
        <v>55</v>
      </c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>
      <c r="A60" s="3">
        <v>56</v>
      </c>
      <c r="B60" s="1"/>
      <c r="C60" s="1"/>
      <c r="D60" s="1">
        <v>1</v>
      </c>
      <c r="E60" s="1"/>
      <c r="F60" s="1"/>
      <c r="G60" s="1"/>
      <c r="H60" s="1"/>
      <c r="I60" s="1"/>
      <c r="J60" s="1"/>
      <c r="K60" s="1"/>
    </row>
    <row r="61" spans="1:11">
      <c r="A61" s="3">
        <v>57</v>
      </c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>
      <c r="A62" s="3">
        <v>58</v>
      </c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>
      <c r="A63" s="3">
        <v>59</v>
      </c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>
      <c r="A64" s="3">
        <v>60</v>
      </c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>
      <c r="A65" s="3">
        <v>61</v>
      </c>
      <c r="B65" s="1"/>
      <c r="C65" s="1"/>
      <c r="D65" s="1">
        <v>1</v>
      </c>
      <c r="E65" s="1"/>
      <c r="F65" s="1"/>
      <c r="G65" s="1"/>
      <c r="H65" s="1"/>
      <c r="I65" s="1"/>
      <c r="J65" s="1"/>
      <c r="K65" s="1"/>
    </row>
    <row r="66" spans="1:11">
      <c r="A66" s="3">
        <v>62</v>
      </c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>
      <c r="A67" s="3">
        <v>63</v>
      </c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>
      <c r="A68" s="3">
        <v>64</v>
      </c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>
      <c r="A69" s="3">
        <v>65</v>
      </c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>
      <c r="A70" s="3">
        <v>66</v>
      </c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>
      <c r="A71" s="3">
        <v>67</v>
      </c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>
      <c r="A72" s="3">
        <v>68</v>
      </c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>
      <c r="A73" s="3">
        <v>69</v>
      </c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>
      <c r="A74" s="3">
        <v>70</v>
      </c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>
      <c r="A75" s="3">
        <v>71</v>
      </c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>
      <c r="A76" s="3">
        <v>72</v>
      </c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>
      <c r="A77" s="3">
        <v>73</v>
      </c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>
      <c r="A78" s="3">
        <v>74</v>
      </c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>
      <c r="A79" s="3">
        <v>75</v>
      </c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>
      <c r="A80" s="3">
        <v>76</v>
      </c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>
      <c r="A81" s="3">
        <v>77</v>
      </c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>
      <c r="A82" s="3">
        <v>78</v>
      </c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>
      <c r="A83" s="3">
        <v>79</v>
      </c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>
      <c r="A84" s="3">
        <v>80</v>
      </c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>
      <c r="A85" s="3">
        <v>81</v>
      </c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>
      <c r="A86" s="3">
        <v>82</v>
      </c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>
      <c r="A87" s="3">
        <v>83</v>
      </c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>
      <c r="A88" s="3">
        <v>84</v>
      </c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>
      <c r="A89" s="3">
        <v>85</v>
      </c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>
      <c r="A90" s="3">
        <v>86</v>
      </c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>
      <c r="A91" s="3">
        <v>87</v>
      </c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>
      <c r="A92" s="3">
        <v>88</v>
      </c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>
      <c r="A93" s="3">
        <v>89</v>
      </c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>
      <c r="A94" s="3">
        <v>90</v>
      </c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>
      <c r="A95" s="3">
        <v>91</v>
      </c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>
      <c r="A96" s="3">
        <v>92</v>
      </c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>
      <c r="A97" s="3">
        <v>93</v>
      </c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>
      <c r="A98" s="3">
        <v>94</v>
      </c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>
      <c r="A99" s="3">
        <v>95</v>
      </c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>
      <c r="A100" s="3">
        <v>96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>
      <c r="A101" s="3">
        <v>97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>
      <c r="A102" s="3">
        <v>98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>
      <c r="A103" s="3">
        <v>99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>
      <c r="A104" s="3">
        <v>100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>
      <c r="A105" s="3">
        <v>101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>
      <c r="A106" s="3">
        <v>102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>
      <c r="A107" s="3">
        <v>103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>
      <c r="A108" s="3">
        <v>104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>
      <c r="A109" s="3">
        <v>105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>
      <c r="A110" s="3">
        <v>106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>
      <c r="A111" s="3">
        <v>107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>
      <c r="A112" s="3">
        <v>108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>
      <c r="A113" s="3">
        <v>109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>
      <c r="A114" s="3">
        <v>110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>
      <c r="A115" s="3">
        <v>111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>
      <c r="A116" s="3">
        <v>112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>
      <c r="A117" s="3">
        <v>113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>
      <c r="A118" s="3">
        <v>114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>
      <c r="A119" s="3">
        <v>115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>
      <c r="A120" s="3">
        <v>116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>
      <c r="A121" s="3">
        <v>117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>
      <c r="A122" s="3">
        <v>118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>
      <c r="A123" s="3">
        <v>119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>
      <c r="A124" s="3">
        <v>120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>
      <c r="A125" s="3">
        <v>121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>
      <c r="A126" s="3">
        <v>122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>
      <c r="A127" s="3">
        <v>123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>
      <c r="A128" s="3">
        <v>124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>
      <c r="A129" s="3">
        <v>125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>
      <c r="A130" s="3">
        <v>126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>
      <c r="A131" s="3">
        <v>127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>
      <c r="A132" s="3">
        <v>128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>
      <c r="A133" s="3">
        <v>129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>
      <c r="A134" s="3">
        <v>130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>
      <c r="A135" s="3">
        <v>131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>
      <c r="A136" s="3">
        <v>132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>
      <c r="A137" s="3">
        <v>133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>
      <c r="A138" s="3">
        <v>134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>
      <c r="A139" s="3">
        <v>135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>
      <c r="A140" s="3">
        <v>136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>
      <c r="A141" s="3">
        <v>137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>
      <c r="A142" s="3">
        <v>138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>
      <c r="A143" s="3">
        <v>139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>
      <c r="A144" s="3">
        <v>140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>
      <c r="A145" s="3">
        <v>141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>
      <c r="A146" s="3">
        <v>142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>
      <c r="A147" s="3">
        <v>143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>
      <c r="A148" s="3">
        <v>144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>
      <c r="A149" s="3">
        <v>145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>
      <c r="A150" s="3">
        <v>146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>
      <c r="A151" s="3">
        <v>147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>
      <c r="A152" s="3">
        <v>148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>
      <c r="A153" s="3">
        <v>149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>
      <c r="A154" s="3">
        <v>150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>
      <c r="A155" s="3">
        <v>151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>
      <c r="A156" s="3">
        <v>152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>
      <c r="A157" s="3">
        <v>153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>
      <c r="A158" s="3">
        <v>154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>
      <c r="A159" s="3">
        <v>155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>
      <c r="A160" s="3">
        <v>156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>
      <c r="A161" s="3">
        <v>157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>
      <c r="A162" s="3">
        <v>158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>
      <c r="A163" s="3">
        <v>159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</row>
  </sheetData>
  <mergeCells count="6">
    <mergeCell ref="J1:K1"/>
    <mergeCell ref="H1:I1"/>
    <mergeCell ref="A1:G1"/>
    <mergeCell ref="B2:C2"/>
    <mergeCell ref="D2:G2"/>
    <mergeCell ref="H2:K2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C00000"/>
  </sheetPr>
  <dimension ref="A1:AB120"/>
  <sheetViews>
    <sheetView tabSelected="1" topLeftCell="A27" zoomScaleNormal="100" workbookViewId="0">
      <pane xSplit="5" ySplit="2" topLeftCell="I45" activePane="bottomRight" state="frozen"/>
      <selection activeCell="A27" sqref="A27"/>
      <selection pane="topRight" activeCell="F27" sqref="F27"/>
      <selection pane="bottomLeft" activeCell="A29" sqref="A29"/>
      <selection pane="bottomRight" activeCell="E55" sqref="E55"/>
    </sheetView>
  </sheetViews>
  <sheetFormatPr defaultRowHeight="13.5"/>
  <cols>
    <col min="1" max="1" width="26.625" customWidth="1"/>
    <col min="2" max="2" width="8.125" customWidth="1"/>
    <col min="3" max="3" width="8.625" customWidth="1"/>
    <col min="4" max="4" width="18" customWidth="1"/>
    <col min="5" max="5" width="10.25" customWidth="1"/>
    <col min="6" max="6" width="9.375" customWidth="1"/>
    <col min="7" max="7" width="16.5" customWidth="1"/>
    <col min="9" max="9" width="9.625" customWidth="1"/>
    <col min="10" max="10" width="14.25" customWidth="1"/>
    <col min="11" max="11" width="15.5" customWidth="1"/>
    <col min="12" max="12" width="12.625" customWidth="1"/>
    <col min="13" max="13" width="17" customWidth="1"/>
    <col min="14" max="14" width="18.875" customWidth="1"/>
    <col min="15" max="15" width="15.75" customWidth="1"/>
    <col min="16" max="16" width="11.5" customWidth="1"/>
    <col min="17" max="17" width="11.25" customWidth="1"/>
  </cols>
  <sheetData>
    <row r="1" spans="1:19" ht="21.75" hidden="1" customHeight="1">
      <c r="A1" s="213" t="s">
        <v>160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213"/>
      <c r="R1" s="213"/>
      <c r="S1" s="213"/>
    </row>
    <row r="2" spans="1:19" ht="66" hidden="1">
      <c r="A2" s="90" t="s">
        <v>161</v>
      </c>
      <c r="B2" s="90" t="s">
        <v>162</v>
      </c>
      <c r="C2" s="90" t="s">
        <v>163</v>
      </c>
      <c r="D2" s="90" t="s">
        <v>164</v>
      </c>
      <c r="E2" s="91" t="s">
        <v>165</v>
      </c>
      <c r="F2" s="90" t="s">
        <v>166</v>
      </c>
      <c r="G2" s="91" t="s">
        <v>167</v>
      </c>
      <c r="H2" s="91" t="s">
        <v>168</v>
      </c>
      <c r="I2" s="90" t="s">
        <v>169</v>
      </c>
      <c r="J2" s="91" t="s">
        <v>170</v>
      </c>
      <c r="K2" s="92" t="s">
        <v>171</v>
      </c>
      <c r="L2" s="92" t="s">
        <v>172</v>
      </c>
      <c r="M2" s="92" t="s">
        <v>173</v>
      </c>
      <c r="N2" s="92" t="s">
        <v>174</v>
      </c>
      <c r="O2" s="92" t="s">
        <v>175</v>
      </c>
      <c r="P2" s="93" t="s">
        <v>176</v>
      </c>
      <c r="Q2" s="92" t="s">
        <v>177</v>
      </c>
      <c r="R2" s="92" t="s">
        <v>178</v>
      </c>
      <c r="S2" s="92" t="s">
        <v>179</v>
      </c>
    </row>
    <row r="3" spans="1:19" ht="16.5" hidden="1">
      <c r="A3" s="94">
        <f>B29</f>
        <v>41</v>
      </c>
      <c r="B3" s="94">
        <v>100</v>
      </c>
      <c r="C3" s="95">
        <f>B32</f>
        <v>30</v>
      </c>
      <c r="D3" s="96">
        <v>504990</v>
      </c>
      <c r="E3" s="96">
        <f>IF(A3&lt;=41,0+5*(D3-0),3000*1000+15*(D3-600000))</f>
        <v>2524950</v>
      </c>
      <c r="F3" s="97">
        <v>3</v>
      </c>
      <c r="G3" s="94">
        <f>IF(A3&lt;=41,(E3-F3*50)/1200,(E3-3000000)/1440)</f>
        <v>2104</v>
      </c>
      <c r="H3" s="95">
        <f>IF(A3&lt;=41,3*G3+(F3-3)/2,7499+G3)</f>
        <v>6312</v>
      </c>
      <c r="I3" s="98">
        <v>503172</v>
      </c>
      <c r="J3" s="96">
        <f>IF(A3&lt;=41,0+5*(I3-0),3000*1000+15*(I3-600000))</f>
        <v>2515860</v>
      </c>
      <c r="K3" s="95">
        <v>273</v>
      </c>
      <c r="L3" s="95">
        <f>J3-(K3/2)*12*C3</f>
        <v>2466720</v>
      </c>
      <c r="M3" s="95">
        <f>L3</f>
        <v>2466720</v>
      </c>
      <c r="N3" s="95">
        <f>(E3-L3)/(12*C3)</f>
        <v>161.75</v>
      </c>
      <c r="O3" s="95">
        <f>INT(N3-10)</f>
        <v>151</v>
      </c>
      <c r="P3" s="95">
        <v>11</v>
      </c>
      <c r="Q3" s="95">
        <v>14</v>
      </c>
      <c r="R3" s="95">
        <v>48</v>
      </c>
      <c r="S3" s="95">
        <f>O3-Q3</f>
        <v>137</v>
      </c>
    </row>
    <row r="4" spans="1:19" hidden="1"/>
    <row r="5" spans="1:19" hidden="1"/>
    <row r="6" spans="1:19" hidden="1">
      <c r="A6" s="214" t="s">
        <v>180</v>
      </c>
      <c r="B6" s="214"/>
      <c r="C6" s="214"/>
      <c r="D6" s="214"/>
      <c r="E6" s="99"/>
      <c r="F6" s="99"/>
    </row>
    <row r="7" spans="1:19" ht="24.75" hidden="1">
      <c r="A7" s="100" t="s">
        <v>181</v>
      </c>
      <c r="B7" s="101" t="s">
        <v>182</v>
      </c>
      <c r="C7" s="101" t="s">
        <v>183</v>
      </c>
      <c r="D7" s="102" t="s">
        <v>184</v>
      </c>
      <c r="E7" s="80"/>
      <c r="F7" s="80"/>
    </row>
    <row r="8" spans="1:19" hidden="1">
      <c r="A8" s="103" t="s">
        <v>185</v>
      </c>
      <c r="B8" s="104">
        <v>270</v>
      </c>
      <c r="C8" s="104">
        <v>3</v>
      </c>
      <c r="D8" s="1">
        <f>IF(B8-1&lt;=INT(275/2),275*(B8-1)+C8,275*(275-B8+1)+(275-1-C8))</f>
        <v>1921</v>
      </c>
    </row>
    <row r="9" spans="1:19" hidden="1">
      <c r="A9" s="105" t="s">
        <v>186</v>
      </c>
      <c r="B9" s="104">
        <v>273</v>
      </c>
      <c r="C9" s="104">
        <v>0</v>
      </c>
      <c r="D9" s="1">
        <f>IF(B9-1&lt;=INT(275/2),275*(B9-1)+C9,275*(275-B9+1)+(275-1-C9))</f>
        <v>1099</v>
      </c>
    </row>
    <row r="10" spans="1:19" hidden="1">
      <c r="A10" s="105" t="s">
        <v>187</v>
      </c>
      <c r="B10" s="106">
        <v>133</v>
      </c>
      <c r="C10" s="107">
        <v>0</v>
      </c>
      <c r="D10" s="1">
        <f>IF(B10-1&lt;=INT(275/2),275*(B10-1)+C10,275*(275-B10+1)+(275-1-C10))</f>
        <v>36300</v>
      </c>
    </row>
    <row r="11" spans="1:19" hidden="1"/>
    <row r="12" spans="1:19" hidden="1">
      <c r="A12" s="215" t="s">
        <v>188</v>
      </c>
      <c r="B12" s="215"/>
      <c r="C12" s="215"/>
      <c r="D12" s="215"/>
      <c r="E12" s="215"/>
      <c r="F12" s="216" t="s">
        <v>189</v>
      </c>
      <c r="G12" s="217"/>
      <c r="H12" s="216" t="s">
        <v>190</v>
      </c>
      <c r="I12" s="218"/>
      <c r="J12" s="218"/>
      <c r="K12" s="218"/>
      <c r="L12" s="218"/>
      <c r="M12" s="217"/>
      <c r="N12" s="219" t="s">
        <v>191</v>
      </c>
      <c r="O12" s="220"/>
      <c r="P12" s="220"/>
      <c r="Q12" s="221"/>
    </row>
    <row r="13" spans="1:19" s="112" customFormat="1" ht="67.5" hidden="1">
      <c r="A13" s="108" t="s">
        <v>192</v>
      </c>
      <c r="B13" s="108" t="s">
        <v>193</v>
      </c>
      <c r="C13" s="109" t="s">
        <v>194</v>
      </c>
      <c r="D13" s="108" t="s">
        <v>195</v>
      </c>
      <c r="E13" s="108" t="s">
        <v>196</v>
      </c>
      <c r="F13" s="109" t="s">
        <v>197</v>
      </c>
      <c r="G13" s="110" t="s">
        <v>198</v>
      </c>
      <c r="H13" s="111" t="s">
        <v>199</v>
      </c>
      <c r="I13" s="111" t="s">
        <v>200</v>
      </c>
      <c r="J13" s="111" t="s">
        <v>123</v>
      </c>
      <c r="K13" s="111" t="s">
        <v>201</v>
      </c>
      <c r="L13" s="111" t="s">
        <v>124</v>
      </c>
      <c r="M13" s="111" t="s">
        <v>125</v>
      </c>
      <c r="N13" s="111" t="s">
        <v>123</v>
      </c>
      <c r="O13" s="111" t="s">
        <v>126</v>
      </c>
      <c r="P13" s="111" t="s">
        <v>124</v>
      </c>
      <c r="Q13" s="111" t="s">
        <v>125</v>
      </c>
      <c r="R13" s="4"/>
    </row>
    <row r="14" spans="1:19" hidden="1">
      <c r="A14" s="113" t="s">
        <v>127</v>
      </c>
      <c r="B14" s="113" t="s">
        <v>202</v>
      </c>
      <c r="C14" s="114">
        <f>B31</f>
        <v>12926</v>
      </c>
      <c r="D14" s="114">
        <f>IF(INT($C$14/275)+MOD($C$14,275)&lt;275,MOD($C$14,275),275-MOD($C$14,275)-1)</f>
        <v>1</v>
      </c>
      <c r="E14" s="114">
        <f>IF(INT($C$14/275)+MOD($C$14,275)&lt;275,INT($C$14/275)+1,275-INT($C$14/275)+1)</f>
        <v>48</v>
      </c>
      <c r="F14" s="114">
        <f>B36</f>
        <v>12</v>
      </c>
      <c r="G14" s="3">
        <f>D43</f>
        <v>2</v>
      </c>
      <c r="H14" s="3">
        <v>0</v>
      </c>
      <c r="I14" s="3">
        <v>4</v>
      </c>
      <c r="J14" s="3">
        <f>$H$14+$D$14</f>
        <v>1</v>
      </c>
      <c r="K14" s="3">
        <f>J14+FLOOR(7/$I$14,1)</f>
        <v>2</v>
      </c>
      <c r="L14" s="3">
        <f>E14-1-$H$4-FLOOR(7/$I$14,1)+$D$14</f>
        <v>47</v>
      </c>
      <c r="M14" s="3">
        <f>E14-1-$H$14+$D$14</f>
        <v>48</v>
      </c>
      <c r="N14" s="3">
        <f>$H$14+$D$14</f>
        <v>1</v>
      </c>
      <c r="O14" s="3">
        <f>H14+$G$14/2-1+$D$14</f>
        <v>1</v>
      </c>
      <c r="P14" s="3">
        <f>E14-1-$H$14-$G$14/2+1+$D$14</f>
        <v>48</v>
      </c>
      <c r="Q14" s="3">
        <f>E14-1-$H$14+$D$14</f>
        <v>48</v>
      </c>
      <c r="R14" s="4"/>
    </row>
    <row r="15" spans="1:19" hidden="1">
      <c r="A15" s="1" t="s">
        <v>127</v>
      </c>
      <c r="B15" s="1" t="s">
        <v>128</v>
      </c>
      <c r="C15" s="3">
        <f>B37</f>
        <v>1099</v>
      </c>
      <c r="D15" s="3">
        <f>IF(INT($C$15/275)+MOD($C$15,275)&lt;275,MOD($C$15,275),275-MOD($C$15,275)-1)</f>
        <v>0</v>
      </c>
      <c r="E15" s="3">
        <f>IF(INT($C$15/275)+MOD($C$15,275)&lt;275,INT($C$15/275)+1,275-INT($C$15/275)+1)</f>
        <v>273</v>
      </c>
      <c r="F15" s="115"/>
      <c r="G15" s="81"/>
      <c r="H15" s="81"/>
      <c r="I15" s="81"/>
      <c r="J15" s="1"/>
      <c r="K15" s="1"/>
      <c r="L15" s="1"/>
      <c r="M15" s="1"/>
      <c r="N15" s="1"/>
      <c r="O15" s="1"/>
      <c r="P15" s="1"/>
      <c r="Q15" s="1"/>
      <c r="R15" s="116"/>
    </row>
    <row r="16" spans="1:19" hidden="1">
      <c r="A16" s="1" t="s">
        <v>127</v>
      </c>
      <c r="B16" s="1" t="s">
        <v>203</v>
      </c>
      <c r="C16" s="3" t="str">
        <f>IF(B42&lt;&gt;"",B42,"")</f>
        <v/>
      </c>
      <c r="D16" s="3" t="str">
        <f>IF(C16&lt;&gt;"",IF(INT($C$16/275)+MOD($C$16,275)&lt;275,MOD($C$16,275),275-MOD($C$16,275)-1),"")</f>
        <v/>
      </c>
      <c r="E16" s="3" t="str">
        <f>IF(C16&lt;&gt;"",IF(INT($C$16/275)+MOD($C$16,275)&lt;275,INT($C$16/275)+1,275-INT($C$16/275)+1),"")</f>
        <v/>
      </c>
      <c r="F16" s="115"/>
      <c r="G16" s="81"/>
      <c r="H16" s="81"/>
      <c r="I16" s="81"/>
      <c r="J16" s="1"/>
      <c r="K16" s="1"/>
      <c r="L16" s="1"/>
      <c r="M16" s="1"/>
      <c r="N16" s="1"/>
      <c r="O16" s="1"/>
      <c r="P16" s="1"/>
      <c r="Q16" s="1"/>
      <c r="R16" s="4"/>
    </row>
    <row r="17" spans="1:10" hidden="1"/>
    <row r="18" spans="1:10" ht="33" hidden="1" customHeight="1">
      <c r="A18" s="83" t="s">
        <v>204</v>
      </c>
      <c r="B18" s="84" t="s">
        <v>205</v>
      </c>
      <c r="C18" s="117" t="s">
        <v>206</v>
      </c>
      <c r="D18" s="118" t="s">
        <v>207</v>
      </c>
      <c r="E18" s="119" t="s">
        <v>208</v>
      </c>
      <c r="F18" s="119" t="s">
        <v>209</v>
      </c>
      <c r="G18" s="133" t="s">
        <v>210</v>
      </c>
      <c r="H18" s="133" t="s">
        <v>211</v>
      </c>
      <c r="I18" s="133" t="s">
        <v>212</v>
      </c>
    </row>
    <row r="19" spans="1:10" hidden="1">
      <c r="A19" s="1" t="s">
        <v>213</v>
      </c>
      <c r="B19" s="123">
        <f>B33</f>
        <v>7</v>
      </c>
      <c r="C19" s="124">
        <v>0</v>
      </c>
      <c r="D19" s="124">
        <v>1.25</v>
      </c>
      <c r="E19" s="124">
        <v>3</v>
      </c>
      <c r="F19" s="124">
        <f>E19*B20</f>
        <v>3</v>
      </c>
      <c r="G19" s="124">
        <f>B21</f>
        <v>1</v>
      </c>
      <c r="H19" s="124">
        <f>C21</f>
        <v>2</v>
      </c>
      <c r="I19" s="124" t="str">
        <f>IF(C16&lt;&gt;"",D21,"")</f>
        <v/>
      </c>
    </row>
    <row r="20" spans="1:10" hidden="1">
      <c r="A20" s="1" t="s">
        <v>130</v>
      </c>
      <c r="B20" s="123">
        <f>B34</f>
        <v>1</v>
      </c>
      <c r="C20" s="131" t="s">
        <v>214</v>
      </c>
      <c r="D20" s="132" t="s">
        <v>215</v>
      </c>
      <c r="E20" s="3"/>
      <c r="F20" s="3"/>
      <c r="G20" s="3"/>
      <c r="H20" s="120"/>
    </row>
    <row r="21" spans="1:10" hidden="1">
      <c r="A21" s="1" t="s">
        <v>216</v>
      </c>
      <c r="B21" s="123">
        <f>B35</f>
        <v>1</v>
      </c>
      <c r="C21" s="3">
        <f>IF(B41&lt;&gt;"",B41,"")</f>
        <v>2</v>
      </c>
      <c r="D21" s="3" t="str">
        <f>IF(B46&lt;&gt;"",B46,"")</f>
        <v/>
      </c>
      <c r="E21" s="3"/>
      <c r="F21" s="3"/>
      <c r="G21" s="127"/>
      <c r="H21" s="120"/>
    </row>
    <row r="22" spans="1:10" hidden="1">
      <c r="A22" s="1" t="s">
        <v>217</v>
      </c>
      <c r="B22" s="3">
        <v>30</v>
      </c>
      <c r="D22" s="3"/>
      <c r="E22" s="3"/>
      <c r="F22" s="3"/>
      <c r="G22" s="127"/>
      <c r="H22" s="120"/>
    </row>
    <row r="23" spans="1:10" hidden="1">
      <c r="A23" s="1" t="s">
        <v>218</v>
      </c>
      <c r="B23" s="3">
        <f>B32</f>
        <v>30</v>
      </c>
      <c r="C23" s="3"/>
      <c r="D23" s="3"/>
      <c r="E23" s="3"/>
      <c r="F23" s="3"/>
      <c r="G23" s="127"/>
      <c r="H23" s="120"/>
    </row>
    <row r="24" spans="1:10" hidden="1">
      <c r="A24" s="1" t="s">
        <v>136</v>
      </c>
      <c r="B24" s="3" t="s">
        <v>137</v>
      </c>
      <c r="C24" s="3"/>
      <c r="D24" s="3"/>
      <c r="E24" s="3"/>
      <c r="F24" s="3"/>
      <c r="G24" s="127"/>
      <c r="H24" s="120"/>
    </row>
    <row r="25" spans="1:10" hidden="1">
      <c r="A25" s="4"/>
      <c r="B25" s="4"/>
      <c r="C25" s="4"/>
      <c r="D25" s="4"/>
      <c r="E25" s="4"/>
      <c r="F25" s="4"/>
      <c r="G25" s="4"/>
      <c r="H25" s="4"/>
    </row>
    <row r="26" spans="1:10" hidden="1"/>
    <row r="27" spans="1:10" ht="27" customHeight="1">
      <c r="A27" s="225" t="s">
        <v>221</v>
      </c>
      <c r="B27" s="226"/>
      <c r="C27" s="226"/>
      <c r="D27" s="226"/>
      <c r="E27" s="226"/>
      <c r="F27" s="226"/>
      <c r="G27" s="226"/>
      <c r="H27" s="226"/>
      <c r="I27" s="226"/>
      <c r="J27" s="226"/>
    </row>
    <row r="28" spans="1:10" ht="27" customHeight="1">
      <c r="A28" s="227" t="s">
        <v>340</v>
      </c>
      <c r="B28" s="227"/>
      <c r="C28" s="228" t="s">
        <v>222</v>
      </c>
      <c r="D28" s="229"/>
      <c r="E28" s="229"/>
      <c r="F28" s="229"/>
      <c r="G28" s="229"/>
      <c r="H28" s="229"/>
      <c r="I28" s="229"/>
      <c r="J28" s="229"/>
    </row>
    <row r="29" spans="1:10" ht="36">
      <c r="A29" s="136" t="s">
        <v>341</v>
      </c>
      <c r="B29" s="3">
        <v>41</v>
      </c>
      <c r="C29" s="133" t="s">
        <v>223</v>
      </c>
      <c r="D29" s="133" t="s">
        <v>224</v>
      </c>
      <c r="E29" s="133" t="s">
        <v>225</v>
      </c>
      <c r="F29" s="133" t="s">
        <v>226</v>
      </c>
      <c r="G29" s="121" t="s">
        <v>159</v>
      </c>
      <c r="H29" s="121" t="s">
        <v>227</v>
      </c>
      <c r="I29" s="121" t="s">
        <v>228</v>
      </c>
      <c r="J29" s="121" t="s">
        <v>125</v>
      </c>
    </row>
    <row r="30" spans="1:10">
      <c r="A30" s="137" t="s">
        <v>229</v>
      </c>
      <c r="B30" s="3">
        <v>273</v>
      </c>
      <c r="C30" s="3">
        <f>D14</f>
        <v>1</v>
      </c>
      <c r="D30" s="3">
        <f>E14</f>
        <v>48</v>
      </c>
      <c r="E30" s="3">
        <f>G19</f>
        <v>1</v>
      </c>
      <c r="F30" s="3">
        <f>F19</f>
        <v>3</v>
      </c>
      <c r="G30" s="3">
        <f>N14</f>
        <v>1</v>
      </c>
      <c r="H30" s="3">
        <f>O14</f>
        <v>1</v>
      </c>
      <c r="I30" s="3">
        <f>P14</f>
        <v>48</v>
      </c>
      <c r="J30" s="3">
        <f>Q14</f>
        <v>48</v>
      </c>
    </row>
    <row r="31" spans="1:10" ht="36">
      <c r="A31" s="138" t="s">
        <v>230</v>
      </c>
      <c r="B31" s="3">
        <v>12926</v>
      </c>
      <c r="C31" s="133" t="s">
        <v>231</v>
      </c>
      <c r="D31" s="133" t="s">
        <v>232</v>
      </c>
      <c r="E31" s="133" t="s">
        <v>233</v>
      </c>
      <c r="F31" s="133" t="s">
        <v>226</v>
      </c>
    </row>
    <row r="32" spans="1:10">
      <c r="A32" s="138" t="s">
        <v>234</v>
      </c>
      <c r="B32" s="3">
        <v>30</v>
      </c>
      <c r="C32" s="3">
        <f>D15</f>
        <v>0</v>
      </c>
      <c r="D32" s="3">
        <f>E15</f>
        <v>273</v>
      </c>
      <c r="E32" s="3">
        <f>H19</f>
        <v>2</v>
      </c>
      <c r="F32" s="3">
        <f>F19</f>
        <v>3</v>
      </c>
    </row>
    <row r="33" spans="1:8" ht="36">
      <c r="A33" s="137" t="s">
        <v>235</v>
      </c>
      <c r="B33" s="3">
        <v>7</v>
      </c>
      <c r="C33" s="133" t="s">
        <v>236</v>
      </c>
      <c r="D33" s="133" t="s">
        <v>237</v>
      </c>
      <c r="E33" s="133" t="s">
        <v>238</v>
      </c>
      <c r="F33" s="133" t="s">
        <v>226</v>
      </c>
    </row>
    <row r="34" spans="1:8">
      <c r="A34" s="137" t="s">
        <v>342</v>
      </c>
      <c r="B34" s="3">
        <v>1</v>
      </c>
      <c r="C34" s="3" t="str">
        <f>D16</f>
        <v/>
      </c>
      <c r="D34" s="3" t="str">
        <f>E16</f>
        <v/>
      </c>
      <c r="E34" s="3" t="str">
        <f>IF(I19&lt;&gt;"",I19,"")</f>
        <v/>
      </c>
      <c r="F34" s="3" t="str">
        <f>IF(C34&lt;&gt;"",F19,"")</f>
        <v/>
      </c>
    </row>
    <row r="35" spans="1:8">
      <c r="A35" s="137" t="s">
        <v>343</v>
      </c>
      <c r="B35" s="3">
        <v>1</v>
      </c>
      <c r="C35" s="1"/>
      <c r="D35" s="1"/>
      <c r="E35" s="1"/>
      <c r="F35" s="1"/>
    </row>
    <row r="36" spans="1:8" ht="18.75">
      <c r="A36" s="137" t="s">
        <v>239</v>
      </c>
      <c r="B36" s="3">
        <v>12</v>
      </c>
      <c r="C36" s="222" t="s">
        <v>255</v>
      </c>
      <c r="D36" s="223"/>
      <c r="E36" s="223"/>
      <c r="F36" s="223"/>
      <c r="G36" s="223"/>
      <c r="H36" s="224"/>
    </row>
    <row r="37" spans="1:8" ht="24">
      <c r="A37" s="139" t="s">
        <v>240</v>
      </c>
      <c r="B37" s="3">
        <v>1099</v>
      </c>
      <c r="C37" s="121" t="s">
        <v>241</v>
      </c>
      <c r="D37" s="134" t="s">
        <v>242</v>
      </c>
      <c r="E37" s="121" t="s">
        <v>243</v>
      </c>
      <c r="F37" s="134" t="s">
        <v>242</v>
      </c>
      <c r="G37" s="121" t="s">
        <v>244</v>
      </c>
      <c r="H37" s="122" t="s">
        <v>245</v>
      </c>
    </row>
    <row r="38" spans="1:8" ht="48">
      <c r="A38" s="139" t="s">
        <v>234</v>
      </c>
      <c r="B38" s="3">
        <v>30</v>
      </c>
      <c r="C38" s="125" t="s">
        <v>246</v>
      </c>
      <c r="D38" s="105">
        <v>80</v>
      </c>
      <c r="E38" s="125" t="s">
        <v>129</v>
      </c>
      <c r="F38" s="105">
        <v>2</v>
      </c>
      <c r="G38" s="126">
        <f>IF(D40="Ture",3*D41,7*D41)</f>
        <v>42</v>
      </c>
      <c r="H38" s="126">
        <f>F40*F41</f>
        <v>8</v>
      </c>
    </row>
    <row r="39" spans="1:8" ht="36">
      <c r="A39" s="140" t="s">
        <v>235</v>
      </c>
      <c r="B39" s="3">
        <v>7</v>
      </c>
      <c r="C39" s="125" t="s">
        <v>247</v>
      </c>
      <c r="D39" s="105">
        <v>28</v>
      </c>
      <c r="E39" s="125" t="s">
        <v>248</v>
      </c>
      <c r="F39" s="105">
        <v>16</v>
      </c>
      <c r="G39" s="122" t="s">
        <v>249</v>
      </c>
      <c r="H39" s="122" t="s">
        <v>250</v>
      </c>
    </row>
    <row r="40" spans="1:8" ht="48">
      <c r="A40" s="140" t="s">
        <v>130</v>
      </c>
      <c r="B40" s="3">
        <v>1</v>
      </c>
      <c r="C40" s="125" t="s">
        <v>251</v>
      </c>
      <c r="D40" s="105" t="b">
        <v>0</v>
      </c>
      <c r="E40" s="125" t="s">
        <v>252</v>
      </c>
      <c r="F40" s="105">
        <v>1</v>
      </c>
      <c r="G40" s="126">
        <f>D39/G38</f>
        <v>0.66666666666666663</v>
      </c>
      <c r="H40" s="126">
        <f>F42</f>
        <v>25</v>
      </c>
    </row>
    <row r="41" spans="1:8" ht="60">
      <c r="A41" s="140" t="s">
        <v>343</v>
      </c>
      <c r="B41" s="3">
        <v>2</v>
      </c>
      <c r="C41" s="125" t="s">
        <v>131</v>
      </c>
      <c r="D41" s="105">
        <v>6</v>
      </c>
      <c r="E41" s="125" t="s">
        <v>132</v>
      </c>
      <c r="F41" s="105">
        <v>8</v>
      </c>
      <c r="G41" s="121" t="s">
        <v>133</v>
      </c>
      <c r="H41" s="122" t="s">
        <v>256</v>
      </c>
    </row>
    <row r="42" spans="1:8" ht="24">
      <c r="A42" s="141" t="s">
        <v>253</v>
      </c>
      <c r="B42" s="3"/>
      <c r="C42" s="135" t="s">
        <v>134</v>
      </c>
      <c r="D42" s="105">
        <v>1</v>
      </c>
      <c r="E42" s="125" t="s">
        <v>135</v>
      </c>
      <c r="F42" s="105">
        <v>25</v>
      </c>
      <c r="G42" s="126">
        <f>F38*F39/G38</f>
        <v>0.76190476190476186</v>
      </c>
      <c r="H42" s="126">
        <f>G40+G42+H38+H40</f>
        <v>34.428571428571431</v>
      </c>
    </row>
    <row r="43" spans="1:8" ht="48">
      <c r="A43" s="141" t="s">
        <v>234</v>
      </c>
      <c r="B43" s="3"/>
      <c r="C43" s="135" t="s">
        <v>254</v>
      </c>
      <c r="D43" s="3">
        <v>2</v>
      </c>
    </row>
    <row r="44" spans="1:8">
      <c r="A44" s="142" t="s">
        <v>235</v>
      </c>
      <c r="B44" s="1"/>
    </row>
    <row r="45" spans="1:8">
      <c r="A45" s="142" t="s">
        <v>130</v>
      </c>
      <c r="B45" s="1"/>
    </row>
    <row r="46" spans="1:8">
      <c r="A46" s="142" t="s">
        <v>343</v>
      </c>
      <c r="B46" s="1"/>
    </row>
    <row r="49" spans="1:28" ht="13.5" customHeight="1">
      <c r="A49" s="230" t="s">
        <v>138</v>
      </c>
      <c r="B49" s="211" t="s">
        <v>219</v>
      </c>
      <c r="C49" s="211"/>
      <c r="D49" s="212" t="s">
        <v>344</v>
      </c>
      <c r="E49" s="211" t="s">
        <v>349</v>
      </c>
      <c r="F49" s="211"/>
      <c r="G49" s="212" t="s">
        <v>220</v>
      </c>
      <c r="H49" s="211" t="s">
        <v>350</v>
      </c>
      <c r="I49" s="211"/>
      <c r="J49" s="212" t="s">
        <v>220</v>
      </c>
      <c r="K49" s="211" t="s">
        <v>345</v>
      </c>
      <c r="L49" s="211"/>
      <c r="M49" s="212" t="s">
        <v>344</v>
      </c>
      <c r="N49" s="207" t="s">
        <v>139</v>
      </c>
      <c r="O49" s="207" t="s">
        <v>140</v>
      </c>
      <c r="P49" s="207" t="s">
        <v>322</v>
      </c>
      <c r="Q49" s="207" t="s">
        <v>323</v>
      </c>
      <c r="T49" s="208" t="s">
        <v>141</v>
      </c>
      <c r="U49" s="209"/>
      <c r="V49" s="209"/>
      <c r="W49" s="209"/>
      <c r="X49" s="209"/>
      <c r="Y49" s="209"/>
      <c r="Z49" s="209"/>
      <c r="AA49" s="209"/>
      <c r="AB49" s="210"/>
    </row>
    <row r="50" spans="1:28" ht="33" customHeight="1">
      <c r="A50" s="230"/>
      <c r="B50" s="185" t="s">
        <v>347</v>
      </c>
      <c r="C50" s="185" t="s">
        <v>346</v>
      </c>
      <c r="D50" s="212"/>
      <c r="E50" s="185" t="s">
        <v>0</v>
      </c>
      <c r="F50" s="185" t="s">
        <v>142</v>
      </c>
      <c r="G50" s="212"/>
      <c r="H50" s="185" t="s">
        <v>0</v>
      </c>
      <c r="I50" s="185" t="s">
        <v>142</v>
      </c>
      <c r="J50" s="212"/>
      <c r="K50" s="185" t="s">
        <v>0</v>
      </c>
      <c r="L50" s="185" t="s">
        <v>142</v>
      </c>
      <c r="M50" s="212"/>
      <c r="N50" s="207"/>
      <c r="O50" s="207"/>
      <c r="P50" s="207"/>
      <c r="Q50" s="207"/>
      <c r="T50" s="186" t="s">
        <v>143</v>
      </c>
      <c r="U50" s="161"/>
      <c r="V50" s="187">
        <v>11</v>
      </c>
      <c r="W50" s="187">
        <v>23</v>
      </c>
      <c r="X50" s="187">
        <v>35</v>
      </c>
      <c r="Y50" s="188">
        <v>47</v>
      </c>
      <c r="Z50" s="188">
        <v>59</v>
      </c>
      <c r="AA50" s="188">
        <v>71</v>
      </c>
      <c r="AB50" s="188">
        <v>83</v>
      </c>
    </row>
    <row r="51" spans="1:28">
      <c r="A51" s="189" t="s">
        <v>348</v>
      </c>
      <c r="B51" s="176">
        <v>1</v>
      </c>
      <c r="C51" s="176"/>
      <c r="D51" s="161" t="s">
        <v>324</v>
      </c>
      <c r="E51" s="176">
        <v>2</v>
      </c>
      <c r="F51" s="176"/>
      <c r="G51" s="161" t="s">
        <v>324</v>
      </c>
      <c r="H51" s="176">
        <v>3</v>
      </c>
      <c r="I51" s="176"/>
      <c r="J51" s="161" t="s">
        <v>324</v>
      </c>
      <c r="K51" s="176">
        <v>4</v>
      </c>
      <c r="L51" s="176"/>
      <c r="M51" s="161" t="s">
        <v>324</v>
      </c>
      <c r="N51" s="190" t="e">
        <f>IF(B51&lt;&gt;"",IF(ABS(H51-B51)=ABS($E$15-$E$16),"Ture","False"),"未填写staringPRB")</f>
        <v>#VALUE!</v>
      </c>
      <c r="O51" s="190" t="str">
        <f t="shared" ref="O51:O82" si="0">IF(C51&lt;&gt;"",IF(ABS(I51-C51)=ABS($E$15-$E$16),"Ture","False"),"未填写HopPRB")</f>
        <v>未填写HopPRB</v>
      </c>
      <c r="P51" s="161">
        <v>1</v>
      </c>
      <c r="Q51" s="161">
        <v>2</v>
      </c>
      <c r="T51" s="186"/>
      <c r="U51" s="191" t="s">
        <v>325</v>
      </c>
      <c r="V51" s="192">
        <v>10</v>
      </c>
      <c r="W51" s="192">
        <v>22</v>
      </c>
      <c r="X51" s="192">
        <v>34</v>
      </c>
      <c r="Y51" s="193">
        <v>46</v>
      </c>
      <c r="Z51" s="193">
        <v>58</v>
      </c>
      <c r="AA51" s="193">
        <v>70</v>
      </c>
      <c r="AB51" s="193">
        <v>82</v>
      </c>
    </row>
    <row r="52" spans="1:28">
      <c r="A52" s="189" t="s">
        <v>326</v>
      </c>
      <c r="B52" s="176"/>
      <c r="C52" s="176"/>
      <c r="D52" s="161" t="s">
        <v>327</v>
      </c>
      <c r="E52" s="176"/>
      <c r="F52" s="176"/>
      <c r="G52" s="161" t="s">
        <v>327</v>
      </c>
      <c r="H52" s="176"/>
      <c r="I52" s="176"/>
      <c r="J52" s="161" t="s">
        <v>327</v>
      </c>
      <c r="K52" s="176"/>
      <c r="L52" s="176"/>
      <c r="M52" s="161" t="s">
        <v>327</v>
      </c>
      <c r="N52" s="190" t="str">
        <f t="shared" ref="N51:N82" si="1">IF(B52&lt;&gt;"",IF(ABS(H52-B52)=ABS($E$15-$E$16),"Ture","False"),"未填写staringPRB")</f>
        <v>未填写staringPRB</v>
      </c>
      <c r="O52" s="190" t="str">
        <f t="shared" si="0"/>
        <v>未填写HopPRB</v>
      </c>
      <c r="P52" s="161"/>
      <c r="Q52" s="161"/>
      <c r="T52" s="186"/>
      <c r="V52" s="187">
        <v>9</v>
      </c>
      <c r="W52" s="187">
        <v>21</v>
      </c>
      <c r="X52" s="187">
        <v>33</v>
      </c>
      <c r="Y52" s="188">
        <v>45</v>
      </c>
      <c r="Z52" s="188">
        <v>57</v>
      </c>
      <c r="AA52" s="188">
        <v>69</v>
      </c>
      <c r="AB52" s="188">
        <v>81</v>
      </c>
    </row>
    <row r="53" spans="1:28">
      <c r="A53" s="189" t="s">
        <v>328</v>
      </c>
      <c r="B53" s="176"/>
      <c r="C53" s="176"/>
      <c r="D53" s="161" t="s">
        <v>329</v>
      </c>
      <c r="E53" s="176"/>
      <c r="F53" s="176"/>
      <c r="G53" s="161" t="s">
        <v>329</v>
      </c>
      <c r="H53" s="176"/>
      <c r="I53" s="176"/>
      <c r="J53" s="161" t="s">
        <v>329</v>
      </c>
      <c r="K53" s="176"/>
      <c r="L53" s="176"/>
      <c r="M53" s="161" t="s">
        <v>329</v>
      </c>
      <c r="N53" s="190" t="str">
        <f t="shared" si="1"/>
        <v>未填写staringPRB</v>
      </c>
      <c r="O53" s="190" t="str">
        <f t="shared" si="0"/>
        <v>未填写HopPRB</v>
      </c>
      <c r="P53" s="161"/>
      <c r="Q53" s="161"/>
      <c r="T53" s="186"/>
      <c r="U53" s="191" t="s">
        <v>330</v>
      </c>
      <c r="V53" s="192">
        <v>8</v>
      </c>
      <c r="W53" s="192">
        <v>20</v>
      </c>
      <c r="X53" s="192">
        <v>32</v>
      </c>
      <c r="Y53" s="193">
        <v>44</v>
      </c>
      <c r="Z53" s="193">
        <v>56</v>
      </c>
      <c r="AA53" s="193">
        <v>68</v>
      </c>
      <c r="AB53" s="193">
        <v>80</v>
      </c>
    </row>
    <row r="54" spans="1:28">
      <c r="A54" s="189" t="s">
        <v>1</v>
      </c>
      <c r="B54" s="176"/>
      <c r="C54" s="176"/>
      <c r="D54" s="161" t="s">
        <v>331</v>
      </c>
      <c r="E54" s="176"/>
      <c r="F54" s="176"/>
      <c r="G54" s="161" t="s">
        <v>331</v>
      </c>
      <c r="H54" s="176"/>
      <c r="I54" s="176"/>
      <c r="J54" s="161" t="s">
        <v>331</v>
      </c>
      <c r="K54" s="176"/>
      <c r="L54" s="176"/>
      <c r="M54" s="161" t="s">
        <v>331</v>
      </c>
      <c r="N54" s="190" t="str">
        <f t="shared" si="1"/>
        <v>未填写staringPRB</v>
      </c>
      <c r="O54" s="190" t="str">
        <f t="shared" si="0"/>
        <v>未填写HopPRB</v>
      </c>
      <c r="P54" s="161"/>
      <c r="Q54" s="161"/>
      <c r="T54" s="186"/>
      <c r="U54" s="194"/>
      <c r="V54" s="187">
        <v>7</v>
      </c>
      <c r="W54" s="187">
        <v>19</v>
      </c>
      <c r="X54" s="187">
        <v>31</v>
      </c>
      <c r="Y54" s="188">
        <v>43</v>
      </c>
      <c r="Z54" s="188">
        <v>55</v>
      </c>
      <c r="AA54" s="188">
        <v>67</v>
      </c>
      <c r="AB54" s="188">
        <v>79</v>
      </c>
    </row>
    <row r="55" spans="1:28">
      <c r="A55" s="189" t="s">
        <v>2</v>
      </c>
      <c r="B55" s="176"/>
      <c r="C55" s="176"/>
      <c r="D55" s="161"/>
      <c r="E55" s="176"/>
      <c r="F55" s="176"/>
      <c r="G55" s="161"/>
      <c r="H55" s="176"/>
      <c r="I55" s="176"/>
      <c r="J55" s="161"/>
      <c r="K55" s="176"/>
      <c r="L55" s="176"/>
      <c r="M55" s="161"/>
      <c r="N55" s="190" t="str">
        <f t="shared" si="1"/>
        <v>未填写staringPRB</v>
      </c>
      <c r="O55" s="190" t="str">
        <f t="shared" si="0"/>
        <v>未填写HopPRB</v>
      </c>
      <c r="P55" s="161"/>
      <c r="Q55" s="161"/>
      <c r="T55" s="186"/>
      <c r="U55" s="191" t="s">
        <v>332</v>
      </c>
      <c r="V55" s="192">
        <v>6</v>
      </c>
      <c r="W55" s="192">
        <v>18</v>
      </c>
      <c r="X55" s="192">
        <v>30</v>
      </c>
      <c r="Y55" s="193">
        <v>42</v>
      </c>
      <c r="Z55" s="193">
        <v>54</v>
      </c>
      <c r="AA55" s="193">
        <v>66</v>
      </c>
      <c r="AB55" s="193">
        <v>78</v>
      </c>
    </row>
    <row r="56" spans="1:28">
      <c r="A56" s="189" t="s">
        <v>3</v>
      </c>
      <c r="B56" s="176"/>
      <c r="C56" s="176"/>
      <c r="D56" s="161"/>
      <c r="E56" s="176"/>
      <c r="F56" s="176"/>
      <c r="G56" s="161"/>
      <c r="H56" s="176"/>
      <c r="I56" s="176"/>
      <c r="J56" s="161"/>
      <c r="K56" s="176"/>
      <c r="L56" s="176"/>
      <c r="M56" s="161"/>
      <c r="N56" s="190" t="str">
        <f t="shared" si="1"/>
        <v>未填写staringPRB</v>
      </c>
      <c r="O56" s="190" t="str">
        <f t="shared" si="0"/>
        <v>未填写HopPRB</v>
      </c>
      <c r="P56" s="161"/>
      <c r="Q56" s="161"/>
      <c r="T56" s="186"/>
      <c r="V56" s="187">
        <v>5</v>
      </c>
      <c r="W56" s="187">
        <v>17</v>
      </c>
      <c r="X56" s="187">
        <v>29</v>
      </c>
      <c r="Y56" s="188">
        <v>41</v>
      </c>
      <c r="Z56" s="188">
        <v>53</v>
      </c>
      <c r="AA56" s="188">
        <v>65</v>
      </c>
      <c r="AB56" s="188">
        <v>77</v>
      </c>
    </row>
    <row r="57" spans="1:28">
      <c r="A57" s="189" t="s">
        <v>4</v>
      </c>
      <c r="B57" s="176"/>
      <c r="C57" s="176"/>
      <c r="D57" s="161"/>
      <c r="E57" s="176"/>
      <c r="F57" s="176"/>
      <c r="G57" s="161"/>
      <c r="H57" s="176"/>
      <c r="I57" s="176"/>
      <c r="J57" s="161"/>
      <c r="K57" s="176"/>
      <c r="L57" s="176"/>
      <c r="M57" s="161"/>
      <c r="N57" s="190" t="str">
        <f t="shared" si="1"/>
        <v>未填写staringPRB</v>
      </c>
      <c r="O57" s="190" t="str">
        <f t="shared" si="0"/>
        <v>未填写HopPRB</v>
      </c>
      <c r="P57" s="161"/>
      <c r="Q57" s="161"/>
      <c r="T57" s="186"/>
      <c r="U57" s="191" t="s">
        <v>333</v>
      </c>
      <c r="V57" s="192">
        <v>4</v>
      </c>
      <c r="W57" s="192">
        <v>16</v>
      </c>
      <c r="X57" s="192">
        <v>28</v>
      </c>
      <c r="Y57" s="193">
        <v>40</v>
      </c>
      <c r="Z57" s="193">
        <v>52</v>
      </c>
      <c r="AA57" s="193">
        <v>64</v>
      </c>
      <c r="AB57" s="193">
        <v>76</v>
      </c>
    </row>
    <row r="58" spans="1:28">
      <c r="A58" s="189" t="s">
        <v>5</v>
      </c>
      <c r="B58" s="176"/>
      <c r="C58" s="176"/>
      <c r="D58" s="161"/>
      <c r="E58" s="176"/>
      <c r="F58" s="176"/>
      <c r="G58" s="161"/>
      <c r="H58" s="176"/>
      <c r="I58" s="176"/>
      <c r="J58" s="161"/>
      <c r="K58" s="176"/>
      <c r="L58" s="176"/>
      <c r="M58" s="161"/>
      <c r="N58" s="190" t="str">
        <f t="shared" si="1"/>
        <v>未填写staringPRB</v>
      </c>
      <c r="O58" s="190" t="str">
        <f t="shared" si="0"/>
        <v>未填写HopPRB</v>
      </c>
      <c r="P58" s="161"/>
      <c r="Q58" s="161"/>
      <c r="T58" s="186"/>
      <c r="V58" s="187">
        <v>3</v>
      </c>
      <c r="W58" s="187">
        <v>15</v>
      </c>
      <c r="X58" s="187">
        <v>27</v>
      </c>
      <c r="Y58" s="188">
        <v>39</v>
      </c>
      <c r="Z58" s="188">
        <v>51</v>
      </c>
      <c r="AA58" s="188">
        <v>63</v>
      </c>
      <c r="AB58" s="188">
        <v>75</v>
      </c>
    </row>
    <row r="59" spans="1:28">
      <c r="A59" s="189" t="s">
        <v>6</v>
      </c>
      <c r="B59" s="176"/>
      <c r="C59" s="176"/>
      <c r="D59" s="161"/>
      <c r="E59" s="176"/>
      <c r="F59" s="176"/>
      <c r="G59" s="161"/>
      <c r="H59" s="176"/>
      <c r="I59" s="176"/>
      <c r="J59" s="161"/>
      <c r="K59" s="176"/>
      <c r="L59" s="176"/>
      <c r="M59" s="161"/>
      <c r="N59" s="190" t="str">
        <f t="shared" si="1"/>
        <v>未填写staringPRB</v>
      </c>
      <c r="O59" s="190" t="str">
        <f t="shared" si="0"/>
        <v>未填写HopPRB</v>
      </c>
      <c r="P59" s="161"/>
      <c r="Q59" s="161"/>
      <c r="T59" s="186"/>
      <c r="U59" s="191" t="s">
        <v>334</v>
      </c>
      <c r="V59" s="192">
        <v>2</v>
      </c>
      <c r="W59" s="192">
        <v>14</v>
      </c>
      <c r="X59" s="192">
        <v>26</v>
      </c>
      <c r="Y59" s="193">
        <v>38</v>
      </c>
      <c r="Z59" s="193">
        <v>50</v>
      </c>
      <c r="AA59" s="193">
        <v>62</v>
      </c>
      <c r="AB59" s="193">
        <v>74</v>
      </c>
    </row>
    <row r="60" spans="1:28">
      <c r="A60" s="189" t="s">
        <v>7</v>
      </c>
      <c r="B60" s="176"/>
      <c r="C60" s="176"/>
      <c r="D60" s="161"/>
      <c r="E60" s="176"/>
      <c r="F60" s="176"/>
      <c r="G60" s="161"/>
      <c r="H60" s="195"/>
      <c r="I60" s="176"/>
      <c r="J60" s="161"/>
      <c r="K60" s="195"/>
      <c r="L60" s="176"/>
      <c r="M60" s="161"/>
      <c r="N60" s="190" t="str">
        <f t="shared" si="1"/>
        <v>未填写staringPRB</v>
      </c>
      <c r="O60" s="190" t="str">
        <f t="shared" si="0"/>
        <v>未填写HopPRB</v>
      </c>
      <c r="P60" s="161"/>
      <c r="Q60" s="161"/>
      <c r="T60" s="186"/>
      <c r="U60" s="183"/>
      <c r="V60" s="187">
        <v>1</v>
      </c>
      <c r="W60" s="187">
        <v>13</v>
      </c>
      <c r="X60" s="187">
        <v>25</v>
      </c>
      <c r="Y60" s="188">
        <v>37</v>
      </c>
      <c r="Z60" s="188">
        <v>49</v>
      </c>
      <c r="AA60" s="188">
        <v>61</v>
      </c>
      <c r="AB60" s="188">
        <v>73</v>
      </c>
    </row>
    <row r="61" spans="1:28">
      <c r="A61" s="189" t="s">
        <v>8</v>
      </c>
      <c r="B61" s="176"/>
      <c r="C61" s="176"/>
      <c r="D61" s="161"/>
      <c r="E61" s="176"/>
      <c r="F61" s="176"/>
      <c r="G61" s="161"/>
      <c r="H61" s="195"/>
      <c r="I61" s="176"/>
      <c r="J61" s="161"/>
      <c r="K61" s="195"/>
      <c r="L61" s="176"/>
      <c r="M61" s="161"/>
      <c r="N61" s="190" t="str">
        <f t="shared" si="1"/>
        <v>未填写staringPRB</v>
      </c>
      <c r="O61" s="190" t="str">
        <f t="shared" si="0"/>
        <v>未填写HopPRB</v>
      </c>
      <c r="P61" s="161"/>
      <c r="Q61" s="161"/>
      <c r="T61" s="186"/>
      <c r="U61" s="191" t="s">
        <v>335</v>
      </c>
      <c r="V61" s="192">
        <v>0</v>
      </c>
      <c r="W61" s="192">
        <v>12</v>
      </c>
      <c r="X61" s="192">
        <v>24</v>
      </c>
      <c r="Y61" s="193">
        <v>36</v>
      </c>
      <c r="Z61" s="193">
        <v>48</v>
      </c>
      <c r="AA61" s="193">
        <v>60</v>
      </c>
      <c r="AB61" s="193">
        <v>72</v>
      </c>
    </row>
    <row r="62" spans="1:28">
      <c r="A62" s="189" t="s">
        <v>9</v>
      </c>
      <c r="B62" s="176"/>
      <c r="C62" s="176"/>
      <c r="D62" s="161"/>
      <c r="E62" s="176"/>
      <c r="F62" s="176"/>
      <c r="G62" s="161"/>
      <c r="H62" s="195"/>
      <c r="I62" s="176"/>
      <c r="J62" s="161"/>
      <c r="K62" s="195"/>
      <c r="L62" s="176"/>
      <c r="M62" s="161"/>
      <c r="N62" s="190" t="str">
        <f t="shared" si="1"/>
        <v>未填写staringPRB</v>
      </c>
      <c r="O62" s="190" t="str">
        <f t="shared" si="0"/>
        <v>未填写HopPRB</v>
      </c>
      <c r="P62" s="161"/>
      <c r="Q62" s="161"/>
      <c r="T62" s="186"/>
      <c r="U62" s="183"/>
      <c r="V62" s="196" t="s">
        <v>336</v>
      </c>
      <c r="W62" s="196"/>
      <c r="X62" s="196"/>
      <c r="Y62" s="196"/>
      <c r="Z62" s="196"/>
      <c r="AA62" s="196"/>
      <c r="AB62" s="196"/>
    </row>
    <row r="63" spans="1:28" ht="12" customHeight="1">
      <c r="A63" s="189" t="s">
        <v>10</v>
      </c>
      <c r="B63" s="176"/>
      <c r="C63" s="176"/>
      <c r="D63" s="161"/>
      <c r="E63" s="176"/>
      <c r="F63" s="176"/>
      <c r="G63" s="161"/>
      <c r="H63" s="195"/>
      <c r="I63" s="176"/>
      <c r="J63" s="161"/>
      <c r="K63" s="195"/>
      <c r="L63" s="176"/>
      <c r="M63" s="161"/>
      <c r="N63" s="190" t="str">
        <f t="shared" si="1"/>
        <v>未填写staringPRB</v>
      </c>
      <c r="O63" s="190" t="str">
        <f t="shared" si="0"/>
        <v>未填写HopPRB</v>
      </c>
      <c r="P63" s="161"/>
      <c r="Q63" s="161"/>
    </row>
    <row r="64" spans="1:28">
      <c r="A64" s="189" t="s">
        <v>11</v>
      </c>
      <c r="B64" s="176"/>
      <c r="C64" s="176"/>
      <c r="D64" s="161"/>
      <c r="E64" s="176"/>
      <c r="F64" s="176"/>
      <c r="G64" s="161"/>
      <c r="H64" s="195"/>
      <c r="I64" s="176"/>
      <c r="J64" s="161"/>
      <c r="K64" s="195"/>
      <c r="L64" s="176"/>
      <c r="M64" s="161"/>
      <c r="N64" s="190" t="str">
        <f t="shared" si="1"/>
        <v>未填写staringPRB</v>
      </c>
      <c r="O64" s="190" t="str">
        <f t="shared" si="0"/>
        <v>未填写HopPRB</v>
      </c>
      <c r="P64" s="161"/>
      <c r="Q64" s="161"/>
    </row>
    <row r="65" spans="1:28" ht="27">
      <c r="A65" s="189" t="s">
        <v>12</v>
      </c>
      <c r="B65" s="176"/>
      <c r="C65" s="176"/>
      <c r="D65" s="161"/>
      <c r="E65" s="176"/>
      <c r="F65" s="176"/>
      <c r="G65" s="161"/>
      <c r="H65" s="176"/>
      <c r="I65" s="176"/>
      <c r="J65" s="161"/>
      <c r="K65" s="176"/>
      <c r="L65" s="176"/>
      <c r="M65" s="161"/>
      <c r="N65" s="190" t="str">
        <f t="shared" si="1"/>
        <v>未填写staringPRB</v>
      </c>
      <c r="O65" s="190" t="str">
        <f t="shared" si="0"/>
        <v>未填写HopPRB</v>
      </c>
      <c r="P65" s="161"/>
      <c r="Q65" s="161"/>
      <c r="T65" s="186" t="s">
        <v>337</v>
      </c>
      <c r="U65" s="161"/>
      <c r="V65" s="187">
        <v>11</v>
      </c>
      <c r="W65" s="187">
        <v>23</v>
      </c>
      <c r="X65" s="187">
        <v>35</v>
      </c>
      <c r="Y65" s="188">
        <v>47</v>
      </c>
      <c r="Z65" s="188">
        <v>59</v>
      </c>
      <c r="AA65" s="188">
        <v>71</v>
      </c>
      <c r="AB65" s="188">
        <v>83</v>
      </c>
    </row>
    <row r="66" spans="1:28" ht="15" customHeight="1">
      <c r="A66" s="189" t="s">
        <v>13</v>
      </c>
      <c r="B66" s="176"/>
      <c r="C66" s="176"/>
      <c r="D66" s="161"/>
      <c r="E66" s="176"/>
      <c r="F66" s="176"/>
      <c r="G66" s="161"/>
      <c r="H66" s="176"/>
      <c r="I66" s="176"/>
      <c r="J66" s="161"/>
      <c r="K66" s="176"/>
      <c r="L66" s="176"/>
      <c r="M66" s="161"/>
      <c r="N66" s="190" t="str">
        <f t="shared" si="1"/>
        <v>未填写staringPRB</v>
      </c>
      <c r="O66" s="190" t="str">
        <f t="shared" si="0"/>
        <v>未填写HopPRB</v>
      </c>
      <c r="P66" s="161"/>
      <c r="Q66" s="161"/>
      <c r="T66" s="186"/>
      <c r="V66" s="187">
        <v>10</v>
      </c>
      <c r="W66" s="187">
        <v>22</v>
      </c>
      <c r="X66" s="187">
        <v>34</v>
      </c>
      <c r="Y66" s="188">
        <v>46</v>
      </c>
      <c r="Z66" s="188">
        <v>58</v>
      </c>
      <c r="AA66" s="188">
        <v>70</v>
      </c>
      <c r="AB66" s="188">
        <v>82</v>
      </c>
    </row>
    <row r="67" spans="1:28">
      <c r="A67" s="189" t="s">
        <v>14</v>
      </c>
      <c r="B67" s="176"/>
      <c r="C67" s="176"/>
      <c r="D67" s="161"/>
      <c r="E67" s="176"/>
      <c r="F67" s="176"/>
      <c r="G67" s="161"/>
      <c r="H67" s="176"/>
      <c r="I67" s="176"/>
      <c r="J67" s="161"/>
      <c r="K67" s="176"/>
      <c r="L67" s="176"/>
      <c r="M67" s="161"/>
      <c r="N67" s="190" t="str">
        <f t="shared" si="1"/>
        <v>未填写staringPRB</v>
      </c>
      <c r="O67" s="190" t="str">
        <f t="shared" si="0"/>
        <v>未填写HopPRB</v>
      </c>
      <c r="P67" s="161"/>
      <c r="Q67" s="161"/>
      <c r="T67" s="186"/>
      <c r="U67" s="191" t="s">
        <v>330</v>
      </c>
      <c r="V67" s="192">
        <v>9</v>
      </c>
      <c r="W67" s="192">
        <v>21</v>
      </c>
      <c r="X67" s="192">
        <v>33</v>
      </c>
      <c r="Y67" s="193">
        <v>45</v>
      </c>
      <c r="Z67" s="193">
        <v>57</v>
      </c>
      <c r="AA67" s="193">
        <v>69</v>
      </c>
      <c r="AB67" s="193">
        <v>81</v>
      </c>
    </row>
    <row r="68" spans="1:28">
      <c r="A68" s="189" t="s">
        <v>15</v>
      </c>
      <c r="B68" s="176"/>
      <c r="C68" s="176"/>
      <c r="D68" s="161"/>
      <c r="E68" s="176"/>
      <c r="F68" s="176"/>
      <c r="G68" s="161"/>
      <c r="H68" s="176"/>
      <c r="I68" s="176"/>
      <c r="J68" s="161"/>
      <c r="K68" s="176"/>
      <c r="L68" s="176"/>
      <c r="M68" s="161"/>
      <c r="N68" s="190" t="str">
        <f t="shared" si="1"/>
        <v>未填写staringPRB</v>
      </c>
      <c r="O68" s="190" t="str">
        <f t="shared" si="0"/>
        <v>未填写HopPRB</v>
      </c>
      <c r="P68" s="161"/>
      <c r="Q68" s="161"/>
      <c r="T68" s="186"/>
      <c r="V68" s="187">
        <v>8</v>
      </c>
      <c r="W68" s="187">
        <v>20</v>
      </c>
      <c r="X68" s="187">
        <v>32</v>
      </c>
      <c r="Y68" s="188">
        <v>44</v>
      </c>
      <c r="Z68" s="188">
        <v>56</v>
      </c>
      <c r="AA68" s="188">
        <v>68</v>
      </c>
      <c r="AB68" s="188">
        <v>80</v>
      </c>
    </row>
    <row r="69" spans="1:28" ht="14.45" customHeight="1">
      <c r="A69" s="189" t="s">
        <v>16</v>
      </c>
      <c r="B69" s="176"/>
      <c r="C69" s="176"/>
      <c r="D69" s="161"/>
      <c r="E69" s="176"/>
      <c r="F69" s="176"/>
      <c r="G69" s="161"/>
      <c r="H69" s="176"/>
      <c r="I69" s="176"/>
      <c r="J69" s="161"/>
      <c r="K69" s="176"/>
      <c r="L69" s="176"/>
      <c r="M69" s="161"/>
      <c r="N69" s="190" t="str">
        <f t="shared" si="1"/>
        <v>未填写staringPRB</v>
      </c>
      <c r="O69" s="190" t="str">
        <f t="shared" si="0"/>
        <v>未填写HopPRB</v>
      </c>
      <c r="P69" s="161"/>
      <c r="Q69" s="161"/>
      <c r="T69" s="186"/>
      <c r="U69" s="191" t="s">
        <v>325</v>
      </c>
      <c r="V69" s="192">
        <v>7</v>
      </c>
      <c r="W69" s="192">
        <v>19</v>
      </c>
      <c r="X69" s="192">
        <v>31</v>
      </c>
      <c r="Y69" s="193">
        <v>43</v>
      </c>
      <c r="Z69" s="193">
        <v>55</v>
      </c>
      <c r="AA69" s="193">
        <v>67</v>
      </c>
      <c r="AB69" s="193">
        <v>79</v>
      </c>
    </row>
    <row r="70" spans="1:28">
      <c r="A70" s="189" t="s">
        <v>17</v>
      </c>
      <c r="B70" s="176"/>
      <c r="C70" s="176"/>
      <c r="D70" s="161"/>
      <c r="E70" s="176"/>
      <c r="F70" s="176"/>
      <c r="G70" s="161"/>
      <c r="H70" s="176"/>
      <c r="I70" s="176"/>
      <c r="J70" s="161"/>
      <c r="K70" s="176"/>
      <c r="L70" s="176"/>
      <c r="M70" s="161"/>
      <c r="N70" s="190" t="str">
        <f t="shared" si="1"/>
        <v>未填写staringPRB</v>
      </c>
      <c r="O70" s="190" t="str">
        <f t="shared" si="0"/>
        <v>未填写HopPRB</v>
      </c>
      <c r="P70" s="161"/>
      <c r="Q70" s="161"/>
      <c r="T70" s="186"/>
      <c r="V70" s="187">
        <v>6</v>
      </c>
      <c r="W70" s="187">
        <v>18</v>
      </c>
      <c r="X70" s="187">
        <v>30</v>
      </c>
      <c r="Y70" s="188">
        <v>42</v>
      </c>
      <c r="Z70" s="188">
        <v>54</v>
      </c>
      <c r="AA70" s="188">
        <v>66</v>
      </c>
      <c r="AB70" s="188">
        <v>78</v>
      </c>
    </row>
    <row r="71" spans="1:28">
      <c r="A71" s="189" t="s">
        <v>18</v>
      </c>
      <c r="B71" s="176"/>
      <c r="C71" s="176"/>
      <c r="D71" s="161"/>
      <c r="E71" s="176"/>
      <c r="F71" s="176"/>
      <c r="G71" s="161"/>
      <c r="H71" s="176"/>
      <c r="I71" s="176"/>
      <c r="J71" s="161"/>
      <c r="K71" s="176"/>
      <c r="L71" s="176"/>
      <c r="M71" s="161"/>
      <c r="N71" s="190" t="str">
        <f t="shared" si="1"/>
        <v>未填写staringPRB</v>
      </c>
      <c r="O71" s="190" t="str">
        <f t="shared" si="0"/>
        <v>未填写HopPRB</v>
      </c>
      <c r="P71" s="161"/>
      <c r="Q71" s="161"/>
      <c r="T71" s="186"/>
      <c r="U71" s="191" t="s">
        <v>333</v>
      </c>
      <c r="V71" s="192">
        <v>5</v>
      </c>
      <c r="W71" s="192">
        <v>17</v>
      </c>
      <c r="X71" s="192">
        <v>29</v>
      </c>
      <c r="Y71" s="193">
        <v>41</v>
      </c>
      <c r="Z71" s="193">
        <v>53</v>
      </c>
      <c r="AA71" s="193">
        <v>65</v>
      </c>
      <c r="AB71" s="193">
        <v>77</v>
      </c>
    </row>
    <row r="72" spans="1:28">
      <c r="A72" s="189" t="s">
        <v>19</v>
      </c>
      <c r="B72" s="176"/>
      <c r="C72" s="176"/>
      <c r="D72" s="161"/>
      <c r="E72" s="176"/>
      <c r="F72" s="176"/>
      <c r="G72" s="161"/>
      <c r="H72" s="176"/>
      <c r="I72" s="176"/>
      <c r="J72" s="161"/>
      <c r="K72" s="176"/>
      <c r="L72" s="176"/>
      <c r="M72" s="161"/>
      <c r="N72" s="190" t="str">
        <f t="shared" si="1"/>
        <v>未填写staringPRB</v>
      </c>
      <c r="O72" s="190" t="str">
        <f t="shared" si="0"/>
        <v>未填写HopPRB</v>
      </c>
      <c r="P72" s="161"/>
      <c r="Q72" s="161"/>
      <c r="T72" s="186"/>
      <c r="U72" s="161"/>
      <c r="V72" s="187">
        <v>4</v>
      </c>
      <c r="W72" s="187">
        <v>16</v>
      </c>
      <c r="X72" s="187">
        <v>28</v>
      </c>
      <c r="Y72" s="188">
        <v>40</v>
      </c>
      <c r="Z72" s="188">
        <v>52</v>
      </c>
      <c r="AA72" s="188">
        <v>64</v>
      </c>
      <c r="AB72" s="188">
        <v>76</v>
      </c>
    </row>
    <row r="73" spans="1:28">
      <c r="A73" s="189" t="s">
        <v>20</v>
      </c>
      <c r="B73" s="176"/>
      <c r="C73" s="176"/>
      <c r="D73" s="161"/>
      <c r="E73" s="176"/>
      <c r="F73" s="176"/>
      <c r="G73" s="161"/>
      <c r="H73" s="176"/>
      <c r="I73" s="176"/>
      <c r="J73" s="161"/>
      <c r="K73" s="176"/>
      <c r="L73" s="176"/>
      <c r="M73" s="161"/>
      <c r="N73" s="190" t="str">
        <f t="shared" si="1"/>
        <v>未填写staringPRB</v>
      </c>
      <c r="O73" s="190" t="str">
        <f t="shared" si="0"/>
        <v>未填写HopPRB</v>
      </c>
      <c r="P73" s="161"/>
      <c r="Q73" s="161"/>
      <c r="T73" s="186"/>
      <c r="U73" s="161"/>
      <c r="V73" s="187">
        <v>3</v>
      </c>
      <c r="W73" s="187">
        <v>15</v>
      </c>
      <c r="X73" s="187">
        <v>27</v>
      </c>
      <c r="Y73" s="188">
        <v>39</v>
      </c>
      <c r="Z73" s="188">
        <v>51</v>
      </c>
      <c r="AA73" s="188">
        <v>63</v>
      </c>
      <c r="AB73" s="188">
        <v>75</v>
      </c>
    </row>
    <row r="74" spans="1:28">
      <c r="A74" s="189" t="s">
        <v>21</v>
      </c>
      <c r="B74" s="176"/>
      <c r="C74" s="176"/>
      <c r="D74" s="161"/>
      <c r="E74" s="176"/>
      <c r="F74" s="176"/>
      <c r="G74" s="161"/>
      <c r="H74" s="176"/>
      <c r="I74" s="176"/>
      <c r="J74" s="161"/>
      <c r="K74" s="176"/>
      <c r="L74" s="176"/>
      <c r="M74" s="161"/>
      <c r="N74" s="190" t="str">
        <f t="shared" si="1"/>
        <v>未填写staringPRB</v>
      </c>
      <c r="O74" s="190" t="str">
        <f t="shared" si="0"/>
        <v>未填写HopPRB</v>
      </c>
      <c r="P74" s="161"/>
      <c r="Q74" s="161"/>
      <c r="T74" s="186"/>
      <c r="U74" s="191" t="s">
        <v>332</v>
      </c>
      <c r="V74" s="192">
        <v>2</v>
      </c>
      <c r="W74" s="192">
        <v>14</v>
      </c>
      <c r="X74" s="192">
        <v>26</v>
      </c>
      <c r="Y74" s="193">
        <v>38</v>
      </c>
      <c r="Z74" s="193">
        <v>50</v>
      </c>
      <c r="AA74" s="193">
        <v>62</v>
      </c>
      <c r="AB74" s="193">
        <v>74</v>
      </c>
    </row>
    <row r="75" spans="1:28">
      <c r="A75" s="189" t="s">
        <v>338</v>
      </c>
      <c r="B75" s="176"/>
      <c r="C75" s="176"/>
      <c r="D75" s="161"/>
      <c r="E75" s="176"/>
      <c r="F75" s="176"/>
      <c r="G75" s="161"/>
      <c r="H75" s="176"/>
      <c r="I75" s="176"/>
      <c r="J75" s="161"/>
      <c r="K75" s="176"/>
      <c r="L75" s="176"/>
      <c r="M75" s="161"/>
      <c r="N75" s="190" t="str">
        <f t="shared" si="1"/>
        <v>未填写staringPRB</v>
      </c>
      <c r="O75" s="190" t="str">
        <f t="shared" si="0"/>
        <v>未填写HopPRB</v>
      </c>
      <c r="P75" s="161"/>
      <c r="Q75" s="161"/>
      <c r="T75" s="186"/>
      <c r="U75" s="183"/>
      <c r="V75" s="187">
        <v>1</v>
      </c>
      <c r="W75" s="187">
        <v>13</v>
      </c>
      <c r="X75" s="187">
        <v>25</v>
      </c>
      <c r="Y75" s="188">
        <v>37</v>
      </c>
      <c r="Z75" s="188">
        <v>49</v>
      </c>
      <c r="AA75" s="188">
        <v>61</v>
      </c>
      <c r="AB75" s="188">
        <v>73</v>
      </c>
    </row>
    <row r="76" spans="1:28">
      <c r="A76" s="189" t="s">
        <v>22</v>
      </c>
      <c r="B76" s="176"/>
      <c r="C76" s="176"/>
      <c r="D76" s="161"/>
      <c r="E76" s="176"/>
      <c r="F76" s="176"/>
      <c r="G76" s="161"/>
      <c r="H76" s="176"/>
      <c r="I76" s="176"/>
      <c r="J76" s="161"/>
      <c r="K76" s="176"/>
      <c r="L76" s="176"/>
      <c r="M76" s="161"/>
      <c r="N76" s="190" t="str">
        <f t="shared" si="1"/>
        <v>未填写staringPRB</v>
      </c>
      <c r="O76" s="190" t="str">
        <f t="shared" si="0"/>
        <v>未填写HopPRB</v>
      </c>
      <c r="P76" s="161"/>
      <c r="Q76" s="161"/>
      <c r="T76" s="186"/>
      <c r="U76" s="191" t="s">
        <v>335</v>
      </c>
      <c r="V76" s="192">
        <v>0</v>
      </c>
      <c r="W76" s="192">
        <v>12</v>
      </c>
      <c r="X76" s="192">
        <v>24</v>
      </c>
      <c r="Y76" s="193">
        <v>36</v>
      </c>
      <c r="Z76" s="193">
        <v>48</v>
      </c>
      <c r="AA76" s="193">
        <v>60</v>
      </c>
      <c r="AB76" s="193">
        <v>72</v>
      </c>
    </row>
    <row r="77" spans="1:28">
      <c r="A77" s="189" t="s">
        <v>23</v>
      </c>
      <c r="B77" s="176"/>
      <c r="C77" s="176"/>
      <c r="D77" s="161"/>
      <c r="E77" s="176"/>
      <c r="F77" s="176"/>
      <c r="G77" s="161"/>
      <c r="H77" s="176"/>
      <c r="I77" s="176"/>
      <c r="J77" s="161"/>
      <c r="K77" s="176"/>
      <c r="L77" s="176"/>
      <c r="M77" s="161"/>
      <c r="N77" s="190" t="str">
        <f t="shared" si="1"/>
        <v>未填写staringPRB</v>
      </c>
      <c r="O77" s="190" t="str">
        <f t="shared" si="0"/>
        <v>未填写HopPRB</v>
      </c>
      <c r="P77" s="161"/>
      <c r="Q77" s="161"/>
      <c r="T77" s="186"/>
      <c r="U77" s="183"/>
      <c r="V77" s="196" t="s">
        <v>336</v>
      </c>
      <c r="W77" s="196"/>
      <c r="X77" s="196"/>
      <c r="Y77" s="196"/>
      <c r="Z77" s="196"/>
      <c r="AA77" s="196"/>
      <c r="AB77" s="196"/>
    </row>
    <row r="78" spans="1:28">
      <c r="A78" s="189" t="s">
        <v>24</v>
      </c>
      <c r="B78" s="176"/>
      <c r="C78" s="176"/>
      <c r="D78" s="161"/>
      <c r="E78" s="176"/>
      <c r="F78" s="176"/>
      <c r="G78" s="161"/>
      <c r="H78" s="176"/>
      <c r="I78" s="176"/>
      <c r="J78" s="161"/>
      <c r="K78" s="176"/>
      <c r="L78" s="176"/>
      <c r="M78" s="161"/>
      <c r="N78" s="190" t="str">
        <f t="shared" si="1"/>
        <v>未填写staringPRB</v>
      </c>
      <c r="O78" s="190" t="str">
        <f t="shared" si="0"/>
        <v>未填写HopPRB</v>
      </c>
      <c r="P78" s="161"/>
      <c r="Q78" s="161"/>
    </row>
    <row r="79" spans="1:28" ht="27">
      <c r="A79" s="189" t="s">
        <v>25</v>
      </c>
      <c r="B79" s="176"/>
      <c r="C79" s="176"/>
      <c r="D79" s="161"/>
      <c r="E79" s="176"/>
      <c r="F79" s="176"/>
      <c r="G79" s="161"/>
      <c r="H79" s="176"/>
      <c r="I79" s="176"/>
      <c r="J79" s="161"/>
      <c r="K79" s="176"/>
      <c r="L79" s="176"/>
      <c r="M79" s="161"/>
      <c r="N79" s="190" t="str">
        <f t="shared" si="1"/>
        <v>未填写staringPRB</v>
      </c>
      <c r="O79" s="190" t="str">
        <f t="shared" si="0"/>
        <v>未填写HopPRB</v>
      </c>
      <c r="P79" s="161"/>
      <c r="Q79" s="161"/>
      <c r="T79" s="186" t="s">
        <v>339</v>
      </c>
      <c r="U79" s="194"/>
      <c r="V79" s="187">
        <v>11</v>
      </c>
      <c r="W79" s="187">
        <v>23</v>
      </c>
      <c r="X79" s="187">
        <v>35</v>
      </c>
      <c r="Y79" s="188">
        <v>47</v>
      </c>
      <c r="Z79" s="188">
        <v>59</v>
      </c>
      <c r="AA79" s="188">
        <v>71</v>
      </c>
      <c r="AB79" s="188">
        <v>83</v>
      </c>
    </row>
    <row r="80" spans="1:28">
      <c r="A80" s="189" t="s">
        <v>26</v>
      </c>
      <c r="B80" s="176"/>
      <c r="C80" s="176"/>
      <c r="D80" s="161"/>
      <c r="E80" s="176"/>
      <c r="F80" s="176"/>
      <c r="G80" s="161"/>
      <c r="H80" s="176"/>
      <c r="I80" s="176"/>
      <c r="J80" s="161"/>
      <c r="K80" s="176"/>
      <c r="L80" s="176"/>
      <c r="M80" s="161"/>
      <c r="N80" s="190" t="str">
        <f t="shared" si="1"/>
        <v>未填写staringPRB</v>
      </c>
      <c r="O80" s="190" t="str">
        <f t="shared" si="0"/>
        <v>未填写HopPRB</v>
      </c>
      <c r="P80" s="161"/>
      <c r="Q80" s="161"/>
      <c r="T80" s="186"/>
      <c r="U80" s="183"/>
      <c r="V80" s="196">
        <v>10</v>
      </c>
      <c r="W80" s="196">
        <v>22</v>
      </c>
      <c r="X80" s="196">
        <v>34</v>
      </c>
      <c r="Y80" s="176">
        <v>46</v>
      </c>
      <c r="Z80" s="176">
        <v>58</v>
      </c>
      <c r="AA80" s="176">
        <v>70</v>
      </c>
      <c r="AB80" s="176">
        <v>82</v>
      </c>
    </row>
    <row r="81" spans="1:28">
      <c r="A81" s="189" t="s">
        <v>27</v>
      </c>
      <c r="B81" s="176"/>
      <c r="C81" s="176"/>
      <c r="D81" s="161"/>
      <c r="E81" s="176"/>
      <c r="F81" s="176"/>
      <c r="G81" s="161"/>
      <c r="H81" s="176"/>
      <c r="I81" s="176"/>
      <c r="J81" s="161"/>
      <c r="K81" s="176"/>
      <c r="L81" s="176"/>
      <c r="M81" s="161"/>
      <c r="N81" s="190" t="str">
        <f t="shared" si="1"/>
        <v>未填写staringPRB</v>
      </c>
      <c r="O81" s="190" t="str">
        <f t="shared" si="0"/>
        <v>未填写HopPRB</v>
      </c>
      <c r="P81" s="161"/>
      <c r="Q81" s="161"/>
      <c r="T81" s="186"/>
      <c r="U81" s="191" t="s">
        <v>332</v>
      </c>
      <c r="V81" s="192">
        <v>9</v>
      </c>
      <c r="W81" s="192">
        <v>21</v>
      </c>
      <c r="X81" s="192">
        <v>33</v>
      </c>
      <c r="Y81" s="193">
        <v>45</v>
      </c>
      <c r="Z81" s="193">
        <v>57</v>
      </c>
      <c r="AA81" s="193">
        <v>69</v>
      </c>
      <c r="AB81" s="193">
        <v>81</v>
      </c>
    </row>
    <row r="82" spans="1:28">
      <c r="A82" s="189" t="s">
        <v>28</v>
      </c>
      <c r="B82" s="176"/>
      <c r="C82" s="176"/>
      <c r="D82" s="161"/>
      <c r="E82" s="176"/>
      <c r="F82" s="176"/>
      <c r="G82" s="161"/>
      <c r="H82" s="176"/>
      <c r="I82" s="176"/>
      <c r="J82" s="161"/>
      <c r="K82" s="176"/>
      <c r="L82" s="176"/>
      <c r="M82" s="161"/>
      <c r="N82" s="190" t="str">
        <f t="shared" si="1"/>
        <v>未填写staringPRB</v>
      </c>
      <c r="O82" s="190" t="str">
        <f t="shared" si="0"/>
        <v>未填写HopPRB</v>
      </c>
      <c r="P82" s="161"/>
      <c r="Q82" s="161"/>
      <c r="T82" s="186"/>
      <c r="U82" s="183"/>
      <c r="V82" s="196">
        <v>8</v>
      </c>
      <c r="W82" s="196">
        <v>20</v>
      </c>
      <c r="X82" s="196">
        <v>32</v>
      </c>
      <c r="Y82" s="176">
        <v>44</v>
      </c>
      <c r="Z82" s="176">
        <v>56</v>
      </c>
      <c r="AA82" s="176">
        <v>68</v>
      </c>
      <c r="AB82" s="176">
        <v>80</v>
      </c>
    </row>
    <row r="83" spans="1:28">
      <c r="A83" s="189" t="s">
        <v>29</v>
      </c>
      <c r="B83" s="176"/>
      <c r="C83" s="176"/>
      <c r="D83" s="161"/>
      <c r="E83" s="176"/>
      <c r="F83" s="176"/>
      <c r="G83" s="161"/>
      <c r="H83" s="176"/>
      <c r="I83" s="176"/>
      <c r="J83" s="161"/>
      <c r="K83" s="176"/>
      <c r="L83" s="176"/>
      <c r="M83" s="161"/>
      <c r="N83" s="190" t="str">
        <f t="shared" ref="N83:N99" si="2">IF(B83&lt;&gt;"",IF(ABS(H83-B83)=ABS($E$15-$E$16),"Ture","False"),"未填写staringPRB")</f>
        <v>未填写staringPRB</v>
      </c>
      <c r="O83" s="190" t="str">
        <f t="shared" ref="O83:O99" si="3">IF(C83&lt;&gt;"",IF(ABS(I83-C83)=ABS($E$15-$E$16),"Ture","False"),"未填写HopPRB")</f>
        <v>未填写HopPRB</v>
      </c>
      <c r="P83" s="161"/>
      <c r="Q83" s="161"/>
      <c r="T83" s="186"/>
      <c r="U83" s="194"/>
      <c r="V83" s="187">
        <v>7</v>
      </c>
      <c r="W83" s="187">
        <v>19</v>
      </c>
      <c r="X83" s="187">
        <v>31</v>
      </c>
      <c r="Y83" s="188">
        <v>43</v>
      </c>
      <c r="Z83" s="188">
        <v>55</v>
      </c>
      <c r="AA83" s="188">
        <v>67</v>
      </c>
      <c r="AB83" s="188">
        <v>79</v>
      </c>
    </row>
    <row r="84" spans="1:28">
      <c r="A84" s="189" t="s">
        <v>30</v>
      </c>
      <c r="B84" s="176"/>
      <c r="C84" s="176"/>
      <c r="D84" s="161"/>
      <c r="E84" s="176"/>
      <c r="F84" s="176"/>
      <c r="G84" s="161"/>
      <c r="H84" s="176"/>
      <c r="I84" s="176"/>
      <c r="J84" s="161"/>
      <c r="K84" s="176"/>
      <c r="L84" s="176"/>
      <c r="M84" s="161"/>
      <c r="N84" s="190" t="str">
        <f t="shared" si="2"/>
        <v>未填写staringPRB</v>
      </c>
      <c r="O84" s="190" t="str">
        <f t="shared" si="3"/>
        <v>未填写HopPRB</v>
      </c>
      <c r="P84" s="161"/>
      <c r="Q84" s="161"/>
      <c r="T84" s="186"/>
      <c r="U84" s="191" t="s">
        <v>333</v>
      </c>
      <c r="V84" s="192">
        <v>6</v>
      </c>
      <c r="W84" s="192">
        <v>18</v>
      </c>
      <c r="X84" s="192">
        <v>30</v>
      </c>
      <c r="Y84" s="193">
        <v>42</v>
      </c>
      <c r="Z84" s="193">
        <v>54</v>
      </c>
      <c r="AA84" s="193">
        <v>66</v>
      </c>
      <c r="AB84" s="193">
        <v>78</v>
      </c>
    </row>
    <row r="85" spans="1:28">
      <c r="A85" s="189" t="s">
        <v>31</v>
      </c>
      <c r="B85" s="176"/>
      <c r="C85" s="176"/>
      <c r="D85" s="161"/>
      <c r="E85" s="176"/>
      <c r="F85" s="176"/>
      <c r="G85" s="161"/>
      <c r="H85" s="176"/>
      <c r="I85" s="176"/>
      <c r="J85" s="161"/>
      <c r="K85" s="176"/>
      <c r="L85" s="176"/>
      <c r="M85" s="161"/>
      <c r="N85" s="190" t="str">
        <f t="shared" si="2"/>
        <v>未填写staringPRB</v>
      </c>
      <c r="O85" s="190" t="str">
        <f t="shared" si="3"/>
        <v>未填写HopPRB</v>
      </c>
      <c r="P85" s="161"/>
      <c r="Q85" s="161"/>
      <c r="T85" s="186"/>
      <c r="U85" s="161"/>
      <c r="V85" s="187">
        <v>5</v>
      </c>
      <c r="W85" s="187">
        <v>17</v>
      </c>
      <c r="X85" s="187">
        <v>29</v>
      </c>
      <c r="Y85" s="188">
        <v>41</v>
      </c>
      <c r="Z85" s="188">
        <v>53</v>
      </c>
      <c r="AA85" s="188">
        <v>65</v>
      </c>
      <c r="AB85" s="188">
        <v>77</v>
      </c>
    </row>
    <row r="86" spans="1:28">
      <c r="A86" s="189" t="s">
        <v>32</v>
      </c>
      <c r="B86" s="176"/>
      <c r="C86" s="176"/>
      <c r="D86" s="161"/>
      <c r="E86" s="176"/>
      <c r="F86" s="176"/>
      <c r="G86" s="161"/>
      <c r="H86" s="176"/>
      <c r="I86" s="176"/>
      <c r="J86" s="161"/>
      <c r="K86" s="176"/>
      <c r="L86" s="176"/>
      <c r="M86" s="161"/>
      <c r="N86" s="190" t="str">
        <f t="shared" si="2"/>
        <v>未填写staringPRB</v>
      </c>
      <c r="O86" s="190" t="str">
        <f t="shared" si="3"/>
        <v>未填写HopPRB</v>
      </c>
      <c r="P86" s="161"/>
      <c r="Q86" s="161"/>
      <c r="T86" s="186"/>
      <c r="U86" s="183"/>
      <c r="V86" s="196">
        <v>4</v>
      </c>
      <c r="W86" s="196">
        <v>16</v>
      </c>
      <c r="X86" s="196">
        <v>28</v>
      </c>
      <c r="Y86" s="176">
        <v>40</v>
      </c>
      <c r="Z86" s="176">
        <v>52</v>
      </c>
      <c r="AA86" s="176">
        <v>64</v>
      </c>
      <c r="AB86" s="176">
        <v>76</v>
      </c>
    </row>
    <row r="87" spans="1:28">
      <c r="A87" s="189" t="s">
        <v>33</v>
      </c>
      <c r="B87" s="176"/>
      <c r="C87" s="176"/>
      <c r="D87" s="161"/>
      <c r="E87" s="176"/>
      <c r="F87" s="176"/>
      <c r="G87" s="161"/>
      <c r="H87" s="176"/>
      <c r="I87" s="176"/>
      <c r="J87" s="161"/>
      <c r="K87" s="176"/>
      <c r="L87" s="176"/>
      <c r="M87" s="161"/>
      <c r="N87" s="190" t="str">
        <f t="shared" si="2"/>
        <v>未填写staringPRB</v>
      </c>
      <c r="O87" s="190" t="str">
        <f t="shared" si="3"/>
        <v>未填写HopPRB</v>
      </c>
      <c r="P87" s="161"/>
      <c r="Q87" s="161"/>
      <c r="T87" s="186"/>
      <c r="U87" s="191" t="s">
        <v>330</v>
      </c>
      <c r="V87" s="192">
        <v>3</v>
      </c>
      <c r="W87" s="192">
        <v>15</v>
      </c>
      <c r="X87" s="192">
        <v>27</v>
      </c>
      <c r="Y87" s="193">
        <v>39</v>
      </c>
      <c r="Z87" s="193">
        <v>51</v>
      </c>
      <c r="AA87" s="193">
        <v>63</v>
      </c>
      <c r="AB87" s="193">
        <v>75</v>
      </c>
    </row>
    <row r="88" spans="1:28">
      <c r="A88" s="189" t="s">
        <v>34</v>
      </c>
      <c r="B88" s="176"/>
      <c r="C88" s="176"/>
      <c r="D88" s="161"/>
      <c r="E88" s="176"/>
      <c r="F88" s="176"/>
      <c r="G88" s="161"/>
      <c r="H88" s="176"/>
      <c r="I88" s="176"/>
      <c r="J88" s="161"/>
      <c r="K88" s="176"/>
      <c r="L88" s="176"/>
      <c r="M88" s="161"/>
      <c r="N88" s="190" t="str">
        <f t="shared" si="2"/>
        <v>未填写staringPRB</v>
      </c>
      <c r="O88" s="190" t="str">
        <f t="shared" si="3"/>
        <v>未填写HopPRB</v>
      </c>
      <c r="P88" s="161"/>
      <c r="Q88" s="161"/>
      <c r="T88" s="186"/>
      <c r="U88" s="183"/>
      <c r="V88" s="196">
        <v>2</v>
      </c>
      <c r="W88" s="196">
        <v>14</v>
      </c>
      <c r="X88" s="196">
        <v>26</v>
      </c>
      <c r="Y88" s="176">
        <v>38</v>
      </c>
      <c r="Z88" s="176">
        <v>50</v>
      </c>
      <c r="AA88" s="176">
        <v>62</v>
      </c>
      <c r="AB88" s="176">
        <v>74</v>
      </c>
    </row>
    <row r="89" spans="1:28">
      <c r="A89" s="189" t="s">
        <v>35</v>
      </c>
      <c r="B89" s="176"/>
      <c r="C89" s="176"/>
      <c r="D89" s="161"/>
      <c r="E89" s="176"/>
      <c r="F89" s="176"/>
      <c r="G89" s="161"/>
      <c r="H89" s="176"/>
      <c r="I89" s="176"/>
      <c r="J89" s="161"/>
      <c r="K89" s="176"/>
      <c r="L89" s="176"/>
      <c r="M89" s="161"/>
      <c r="N89" s="190" t="str">
        <f t="shared" si="2"/>
        <v>未填写staringPRB</v>
      </c>
      <c r="O89" s="190" t="str">
        <f t="shared" si="3"/>
        <v>未填写HopPRB</v>
      </c>
      <c r="P89" s="161"/>
      <c r="Q89" s="161"/>
      <c r="T89" s="186"/>
      <c r="U89" s="183"/>
      <c r="V89" s="196">
        <v>1</v>
      </c>
      <c r="W89" s="196">
        <v>13</v>
      </c>
      <c r="X89" s="196">
        <v>25</v>
      </c>
      <c r="Y89" s="176">
        <v>37</v>
      </c>
      <c r="Z89" s="176">
        <v>49</v>
      </c>
      <c r="AA89" s="176">
        <v>61</v>
      </c>
      <c r="AB89" s="176">
        <v>73</v>
      </c>
    </row>
    <row r="90" spans="1:28">
      <c r="A90" s="189" t="s">
        <v>36</v>
      </c>
      <c r="B90" s="176"/>
      <c r="C90" s="176"/>
      <c r="D90" s="161"/>
      <c r="E90" s="176"/>
      <c r="F90" s="176"/>
      <c r="G90" s="161"/>
      <c r="H90" s="176"/>
      <c r="I90" s="176"/>
      <c r="J90" s="161"/>
      <c r="K90" s="176"/>
      <c r="L90" s="176"/>
      <c r="M90" s="161"/>
      <c r="N90" s="190" t="str">
        <f t="shared" si="2"/>
        <v>未填写staringPRB</v>
      </c>
      <c r="O90" s="190" t="str">
        <f t="shared" si="3"/>
        <v>未填写HopPRB</v>
      </c>
      <c r="P90" s="161"/>
      <c r="Q90" s="161"/>
      <c r="T90" s="186"/>
      <c r="U90" s="191" t="s">
        <v>335</v>
      </c>
      <c r="V90" s="192">
        <v>0</v>
      </c>
      <c r="W90" s="192">
        <v>12</v>
      </c>
      <c r="X90" s="192">
        <v>24</v>
      </c>
      <c r="Y90" s="193">
        <v>36</v>
      </c>
      <c r="Z90" s="193">
        <v>48</v>
      </c>
      <c r="AA90" s="193">
        <v>60</v>
      </c>
      <c r="AB90" s="193">
        <v>72</v>
      </c>
    </row>
    <row r="91" spans="1:28">
      <c r="A91" s="189" t="s">
        <v>37</v>
      </c>
      <c r="B91" s="176"/>
      <c r="C91" s="176"/>
      <c r="D91" s="161"/>
      <c r="E91" s="176"/>
      <c r="F91" s="176"/>
      <c r="G91" s="161"/>
      <c r="H91" s="176"/>
      <c r="I91" s="176"/>
      <c r="J91" s="161"/>
      <c r="K91" s="176"/>
      <c r="L91" s="176"/>
      <c r="M91" s="161"/>
      <c r="N91" s="190" t="str">
        <f t="shared" si="2"/>
        <v>未填写staringPRB</v>
      </c>
      <c r="O91" s="190" t="str">
        <f t="shared" si="3"/>
        <v>未填写HopPRB</v>
      </c>
      <c r="P91" s="161"/>
      <c r="Q91" s="161"/>
      <c r="T91" s="186"/>
      <c r="U91" s="183"/>
      <c r="V91" s="196" t="s">
        <v>336</v>
      </c>
      <c r="W91" s="196"/>
      <c r="X91" s="196"/>
      <c r="Y91" s="196"/>
      <c r="Z91" s="196"/>
      <c r="AA91" s="196"/>
      <c r="AB91" s="196"/>
    </row>
    <row r="92" spans="1:28">
      <c r="A92" s="189" t="s">
        <v>38</v>
      </c>
      <c r="B92" s="176"/>
      <c r="C92" s="176"/>
      <c r="D92" s="161"/>
      <c r="E92" s="176"/>
      <c r="F92" s="176"/>
      <c r="G92" s="161"/>
      <c r="H92" s="176"/>
      <c r="I92" s="176"/>
      <c r="J92" s="161"/>
      <c r="K92" s="176"/>
      <c r="L92" s="176"/>
      <c r="M92" s="161"/>
      <c r="N92" s="190" t="str">
        <f t="shared" si="2"/>
        <v>未填写staringPRB</v>
      </c>
      <c r="O92" s="190" t="str">
        <f t="shared" si="3"/>
        <v>未填写HopPRB</v>
      </c>
      <c r="P92" s="161"/>
      <c r="Q92" s="161"/>
    </row>
    <row r="93" spans="1:28" ht="14.25" thickBot="1">
      <c r="A93" s="189" t="s">
        <v>39</v>
      </c>
      <c r="B93" s="176"/>
      <c r="C93" s="176"/>
      <c r="D93" s="161"/>
      <c r="E93" s="176"/>
      <c r="F93" s="176"/>
      <c r="G93" s="161"/>
      <c r="H93" s="176"/>
      <c r="I93" s="176"/>
      <c r="J93" s="161"/>
      <c r="K93" s="176"/>
      <c r="L93" s="176"/>
      <c r="M93" s="161"/>
      <c r="N93" s="190" t="str">
        <f t="shared" si="2"/>
        <v>未填写staringPRB</v>
      </c>
      <c r="O93" s="190" t="str">
        <f t="shared" si="3"/>
        <v>未填写HopPRB</v>
      </c>
      <c r="P93" s="161"/>
      <c r="Q93" s="161"/>
    </row>
    <row r="94" spans="1:28" ht="15" thickBot="1">
      <c r="A94" s="189" t="s">
        <v>40</v>
      </c>
      <c r="B94" s="176"/>
      <c r="C94" s="176"/>
      <c r="D94" s="161"/>
      <c r="E94" s="176"/>
      <c r="F94" s="176"/>
      <c r="G94" s="161"/>
      <c r="H94" s="176"/>
      <c r="I94" s="176"/>
      <c r="J94" s="161"/>
      <c r="K94" s="176"/>
      <c r="L94" s="176"/>
      <c r="M94" s="161"/>
      <c r="N94" s="190" t="str">
        <f t="shared" si="2"/>
        <v>未填写staringPRB</v>
      </c>
      <c r="O94" s="190" t="str">
        <f t="shared" si="3"/>
        <v>未填写HopPRB</v>
      </c>
      <c r="P94" s="161"/>
      <c r="Q94" s="161"/>
      <c r="T94" s="143"/>
      <c r="U94" s="144" t="s">
        <v>144</v>
      </c>
      <c r="V94" s="145"/>
      <c r="W94" s="144" t="s">
        <v>145</v>
      </c>
      <c r="X94" s="145"/>
      <c r="Y94" s="144" t="s">
        <v>146</v>
      </c>
      <c r="Z94" s="145"/>
    </row>
    <row r="95" spans="1:28" ht="14.25" customHeight="1" thickBot="1">
      <c r="A95" s="189" t="s">
        <v>41</v>
      </c>
      <c r="B95" s="176"/>
      <c r="C95" s="176"/>
      <c r="D95" s="161"/>
      <c r="E95" s="176"/>
      <c r="F95" s="176"/>
      <c r="G95" s="161"/>
      <c r="H95" s="176"/>
      <c r="I95" s="176"/>
      <c r="J95" s="161"/>
      <c r="K95" s="176"/>
      <c r="L95" s="176"/>
      <c r="M95" s="161"/>
      <c r="N95" s="190" t="str">
        <f t="shared" si="2"/>
        <v>未填写staringPRB</v>
      </c>
      <c r="O95" s="190" t="str">
        <f t="shared" si="3"/>
        <v>未填写HopPRB</v>
      </c>
      <c r="P95" s="161"/>
      <c r="Q95" s="161"/>
      <c r="T95" s="129"/>
      <c r="U95" s="128" t="s">
        <v>147</v>
      </c>
      <c r="V95" s="128" t="s">
        <v>148</v>
      </c>
      <c r="W95" s="128" t="s">
        <v>147</v>
      </c>
      <c r="X95" s="128" t="s">
        <v>148</v>
      </c>
      <c r="Y95" s="128" t="s">
        <v>147</v>
      </c>
      <c r="Z95" s="128" t="s">
        <v>148</v>
      </c>
    </row>
    <row r="96" spans="1:28" ht="15" thickBot="1">
      <c r="A96" s="189" t="s">
        <v>42</v>
      </c>
      <c r="B96" s="176"/>
      <c r="C96" s="176"/>
      <c r="D96" s="161"/>
      <c r="E96" s="176"/>
      <c r="F96" s="176"/>
      <c r="G96" s="161"/>
      <c r="H96" s="176"/>
      <c r="I96" s="176"/>
      <c r="J96" s="161"/>
      <c r="K96" s="176"/>
      <c r="L96" s="176"/>
      <c r="M96" s="161"/>
      <c r="N96" s="190" t="str">
        <f t="shared" si="2"/>
        <v>未填写staringPRB</v>
      </c>
      <c r="O96" s="190" t="str">
        <f t="shared" si="3"/>
        <v>未填写HopPRB</v>
      </c>
      <c r="P96" s="161"/>
      <c r="Q96" s="161"/>
      <c r="T96" s="129" t="s">
        <v>149</v>
      </c>
      <c r="U96" s="130">
        <v>2</v>
      </c>
      <c r="V96" s="130">
        <v>1</v>
      </c>
      <c r="W96" s="130">
        <v>3</v>
      </c>
      <c r="X96" s="130">
        <v>1</v>
      </c>
      <c r="Y96" s="130">
        <v>7</v>
      </c>
      <c r="Z96" s="130">
        <v>3</v>
      </c>
    </row>
    <row r="97" spans="1:17">
      <c r="A97" s="189" t="s">
        <v>43</v>
      </c>
      <c r="B97" s="176"/>
      <c r="C97" s="176"/>
      <c r="D97" s="161"/>
      <c r="E97" s="176"/>
      <c r="F97" s="176"/>
      <c r="G97" s="161"/>
      <c r="H97" s="176"/>
      <c r="I97" s="176"/>
      <c r="J97" s="161"/>
      <c r="K97" s="176"/>
      <c r="L97" s="176"/>
      <c r="M97" s="161"/>
      <c r="N97" s="190" t="str">
        <f t="shared" si="2"/>
        <v>未填写staringPRB</v>
      </c>
      <c r="O97" s="190" t="str">
        <f t="shared" si="3"/>
        <v>未填写HopPRB</v>
      </c>
      <c r="P97" s="161"/>
      <c r="Q97" s="161"/>
    </row>
    <row r="98" spans="1:17">
      <c r="A98" s="189" t="s">
        <v>44</v>
      </c>
      <c r="B98" s="176"/>
      <c r="C98" s="176"/>
      <c r="D98" s="161"/>
      <c r="E98" s="176"/>
      <c r="F98" s="176"/>
      <c r="G98" s="161"/>
      <c r="H98" s="176"/>
      <c r="I98" s="176"/>
      <c r="J98" s="161"/>
      <c r="K98" s="176"/>
      <c r="L98" s="176"/>
      <c r="M98" s="161"/>
      <c r="N98" s="190" t="str">
        <f t="shared" si="2"/>
        <v>未填写staringPRB</v>
      </c>
      <c r="O98" s="190" t="str">
        <f t="shared" si="3"/>
        <v>未填写HopPRB</v>
      </c>
      <c r="P98" s="161"/>
      <c r="Q98" s="161"/>
    </row>
    <row r="99" spans="1:17">
      <c r="A99" s="189" t="s">
        <v>45</v>
      </c>
      <c r="B99" s="176"/>
      <c r="C99" s="176"/>
      <c r="D99" s="161"/>
      <c r="E99" s="176"/>
      <c r="F99" s="176"/>
      <c r="G99" s="161"/>
      <c r="H99" s="176"/>
      <c r="I99" s="176"/>
      <c r="J99" s="161"/>
      <c r="K99" s="176"/>
      <c r="L99" s="176"/>
      <c r="M99" s="161"/>
      <c r="N99" s="190" t="str">
        <f t="shared" si="2"/>
        <v>未填写staringPRB</v>
      </c>
      <c r="O99" s="190" t="str">
        <f t="shared" si="3"/>
        <v>未填写HopPRB</v>
      </c>
      <c r="P99" s="161"/>
      <c r="Q99" s="161"/>
    </row>
    <row r="100" spans="1:17">
      <c r="A100" s="189"/>
      <c r="B100" s="176"/>
      <c r="C100" s="176"/>
      <c r="D100" s="161"/>
      <c r="E100" s="176"/>
      <c r="F100" s="176"/>
      <c r="G100" s="161"/>
      <c r="H100" s="176"/>
      <c r="I100" s="176"/>
      <c r="J100" s="161"/>
      <c r="K100" s="176"/>
      <c r="L100" s="176"/>
      <c r="M100" s="161"/>
      <c r="N100" s="190"/>
      <c r="O100" s="190"/>
      <c r="P100" s="161"/>
      <c r="Q100" s="161"/>
    </row>
    <row r="101" spans="1:17">
      <c r="A101" s="189"/>
      <c r="B101" s="176"/>
      <c r="C101" s="176"/>
      <c r="D101" s="161"/>
      <c r="E101" s="176"/>
      <c r="F101" s="176"/>
      <c r="G101" s="161"/>
      <c r="H101" s="176"/>
      <c r="I101" s="176"/>
      <c r="J101" s="161"/>
      <c r="K101" s="176"/>
      <c r="L101" s="176"/>
      <c r="M101" s="161"/>
      <c r="N101" s="190"/>
      <c r="O101" s="190"/>
      <c r="P101" s="161"/>
      <c r="Q101" s="161"/>
    </row>
    <row r="102" spans="1:17">
      <c r="A102" s="189"/>
      <c r="B102" s="176"/>
      <c r="C102" s="176"/>
      <c r="D102" s="161"/>
      <c r="E102" s="176"/>
      <c r="F102" s="176"/>
      <c r="G102" s="161"/>
      <c r="H102" s="176"/>
      <c r="I102" s="176"/>
      <c r="J102" s="161"/>
      <c r="K102" s="176"/>
      <c r="L102" s="176"/>
      <c r="M102" s="161"/>
      <c r="N102" s="190"/>
      <c r="O102" s="190"/>
      <c r="P102" s="161"/>
      <c r="Q102" s="161"/>
    </row>
    <row r="103" spans="1:17">
      <c r="A103" s="189"/>
      <c r="B103" s="176"/>
      <c r="C103" s="176"/>
      <c r="D103" s="161"/>
      <c r="E103" s="176"/>
      <c r="F103" s="176"/>
      <c r="G103" s="161"/>
      <c r="H103" s="176"/>
      <c r="I103" s="176"/>
      <c r="J103" s="161"/>
      <c r="K103" s="176"/>
      <c r="L103" s="176"/>
      <c r="M103" s="161"/>
      <c r="N103" s="190"/>
      <c r="O103" s="190"/>
      <c r="P103" s="161"/>
      <c r="Q103" s="161"/>
    </row>
    <row r="104" spans="1:17">
      <c r="A104" s="189"/>
      <c r="B104" s="176"/>
      <c r="C104" s="176"/>
      <c r="D104" s="161"/>
      <c r="E104" s="176"/>
      <c r="F104" s="176"/>
      <c r="G104" s="161"/>
      <c r="H104" s="176"/>
      <c r="I104" s="176"/>
      <c r="J104" s="161"/>
      <c r="K104" s="176"/>
      <c r="L104" s="176"/>
      <c r="M104" s="161"/>
      <c r="N104" s="190"/>
      <c r="O104" s="190"/>
      <c r="P104" s="161"/>
      <c r="Q104" s="161"/>
    </row>
    <row r="105" spans="1:17">
      <c r="A105" s="189"/>
      <c r="B105" s="176"/>
      <c r="C105" s="176"/>
      <c r="D105" s="161"/>
      <c r="E105" s="176"/>
      <c r="F105" s="176"/>
      <c r="G105" s="161"/>
      <c r="H105" s="176"/>
      <c r="I105" s="176"/>
      <c r="J105" s="161"/>
      <c r="K105" s="176"/>
      <c r="L105" s="176"/>
      <c r="M105" s="161"/>
      <c r="N105" s="190"/>
      <c r="O105" s="190"/>
      <c r="P105" s="161"/>
      <c r="Q105" s="161"/>
    </row>
    <row r="106" spans="1:17">
      <c r="A106" s="189"/>
      <c r="B106" s="176"/>
      <c r="C106" s="176"/>
      <c r="D106" s="161"/>
      <c r="E106" s="176"/>
      <c r="F106" s="176"/>
      <c r="G106" s="161"/>
      <c r="H106" s="176"/>
      <c r="I106" s="176"/>
      <c r="J106" s="161"/>
      <c r="K106" s="176"/>
      <c r="L106" s="176"/>
      <c r="M106" s="161"/>
      <c r="N106" s="190"/>
      <c r="O106" s="190"/>
      <c r="P106" s="161"/>
      <c r="Q106" s="161"/>
    </row>
    <row r="107" spans="1:17">
      <c r="A107" s="189"/>
      <c r="B107" s="176"/>
      <c r="C107" s="176"/>
      <c r="D107" s="161"/>
      <c r="E107" s="176"/>
      <c r="F107" s="176"/>
      <c r="G107" s="161"/>
      <c r="H107" s="176"/>
      <c r="I107" s="176"/>
      <c r="J107" s="161"/>
      <c r="K107" s="176"/>
      <c r="L107" s="176"/>
      <c r="M107" s="161"/>
      <c r="N107" s="190"/>
      <c r="O107" s="190"/>
      <c r="P107" s="161"/>
      <c r="Q107" s="161"/>
    </row>
    <row r="108" spans="1:17">
      <c r="A108" s="189"/>
      <c r="B108" s="176"/>
      <c r="C108" s="176"/>
      <c r="D108" s="161"/>
      <c r="E108" s="176"/>
      <c r="F108" s="176"/>
      <c r="G108" s="161"/>
      <c r="H108" s="176"/>
      <c r="I108" s="176"/>
      <c r="J108" s="161"/>
      <c r="K108" s="176"/>
      <c r="L108" s="176"/>
      <c r="M108" s="161"/>
      <c r="N108" s="190"/>
      <c r="O108" s="190"/>
      <c r="P108" s="161"/>
      <c r="Q108" s="161"/>
    </row>
    <row r="109" spans="1:17">
      <c r="A109" s="189"/>
      <c r="B109" s="176"/>
      <c r="C109" s="176"/>
      <c r="D109" s="161"/>
      <c r="E109" s="176"/>
      <c r="F109" s="176"/>
      <c r="G109" s="161"/>
      <c r="H109" s="176"/>
      <c r="I109" s="176"/>
      <c r="J109" s="161"/>
      <c r="K109" s="176"/>
      <c r="L109" s="176"/>
      <c r="M109" s="161"/>
      <c r="N109" s="190"/>
      <c r="O109" s="190"/>
      <c r="P109" s="161"/>
      <c r="Q109" s="161"/>
    </row>
    <row r="110" spans="1:17">
      <c r="A110" s="189"/>
      <c r="B110" s="176"/>
      <c r="C110" s="176"/>
      <c r="D110" s="161"/>
      <c r="E110" s="176"/>
      <c r="F110" s="176"/>
      <c r="G110" s="161"/>
      <c r="H110" s="176"/>
      <c r="I110" s="176"/>
      <c r="J110" s="161"/>
      <c r="K110" s="176"/>
      <c r="L110" s="176"/>
      <c r="M110" s="161"/>
      <c r="N110" s="190"/>
      <c r="O110" s="190"/>
      <c r="P110" s="161"/>
      <c r="Q110" s="161"/>
    </row>
    <row r="111" spans="1:17">
      <c r="A111" s="189"/>
      <c r="B111" s="176"/>
      <c r="C111" s="176"/>
      <c r="D111" s="161"/>
      <c r="E111" s="176"/>
      <c r="F111" s="176"/>
      <c r="G111" s="161"/>
      <c r="H111" s="176"/>
      <c r="I111" s="176"/>
      <c r="J111" s="161"/>
      <c r="K111" s="176"/>
      <c r="L111" s="176"/>
      <c r="M111" s="161"/>
      <c r="N111" s="190"/>
      <c r="O111" s="190"/>
      <c r="P111" s="161"/>
      <c r="Q111" s="161"/>
    </row>
    <row r="112" spans="1:17">
      <c r="A112" s="189"/>
      <c r="B112" s="176"/>
      <c r="C112" s="176"/>
      <c r="D112" s="161"/>
      <c r="E112" s="176"/>
      <c r="F112" s="176"/>
      <c r="G112" s="161"/>
      <c r="H112" s="176"/>
      <c r="I112" s="176"/>
      <c r="J112" s="161"/>
      <c r="K112" s="176"/>
      <c r="L112" s="176"/>
      <c r="M112" s="161"/>
      <c r="N112" s="190"/>
      <c r="O112" s="190"/>
      <c r="P112" s="161"/>
      <c r="Q112" s="161"/>
    </row>
    <row r="113" spans="1:17">
      <c r="A113" s="189"/>
      <c r="B113" s="176"/>
      <c r="C113" s="176"/>
      <c r="D113" s="161"/>
      <c r="E113" s="176"/>
      <c r="F113" s="176"/>
      <c r="G113" s="161"/>
      <c r="H113" s="176"/>
      <c r="I113" s="176"/>
      <c r="J113" s="161"/>
      <c r="K113" s="176"/>
      <c r="L113" s="176"/>
      <c r="M113" s="161"/>
      <c r="N113" s="190"/>
      <c r="O113" s="190"/>
      <c r="P113" s="161"/>
      <c r="Q113" s="161"/>
    </row>
    <row r="114" spans="1:17">
      <c r="A114" s="189"/>
      <c r="B114" s="176"/>
      <c r="C114" s="176"/>
      <c r="D114" s="161"/>
      <c r="E114" s="176"/>
      <c r="F114" s="176"/>
      <c r="G114" s="161"/>
      <c r="H114" s="176"/>
      <c r="I114" s="176"/>
      <c r="J114" s="161"/>
      <c r="K114" s="176"/>
      <c r="L114" s="176"/>
      <c r="M114" s="161"/>
      <c r="N114" s="190"/>
      <c r="O114" s="190"/>
      <c r="P114" s="161"/>
      <c r="Q114" s="161"/>
    </row>
    <row r="115" spans="1:17">
      <c r="A115" s="189"/>
      <c r="B115" s="176"/>
      <c r="C115" s="176"/>
      <c r="D115" s="161"/>
      <c r="E115" s="176"/>
      <c r="F115" s="176"/>
      <c r="G115" s="161"/>
      <c r="H115" s="176"/>
      <c r="I115" s="176"/>
      <c r="J115" s="161"/>
      <c r="K115" s="176"/>
      <c r="L115" s="176"/>
      <c r="M115" s="161"/>
      <c r="N115" s="190"/>
      <c r="O115" s="190"/>
      <c r="P115" s="161"/>
      <c r="Q115" s="161"/>
    </row>
    <row r="116" spans="1:17">
      <c r="A116" s="189"/>
      <c r="B116" s="176"/>
      <c r="C116" s="176"/>
      <c r="D116" s="161"/>
      <c r="E116" s="176"/>
      <c r="F116" s="176"/>
      <c r="G116" s="161"/>
      <c r="H116" s="176"/>
      <c r="I116" s="176"/>
      <c r="J116" s="161"/>
      <c r="K116" s="176"/>
      <c r="L116" s="176"/>
      <c r="M116" s="161"/>
      <c r="N116" s="190"/>
      <c r="O116" s="190"/>
      <c r="P116" s="161"/>
      <c r="Q116" s="161"/>
    </row>
    <row r="117" spans="1:17">
      <c r="A117" s="189"/>
      <c r="B117" s="176"/>
      <c r="C117" s="176"/>
      <c r="D117" s="161"/>
      <c r="E117" s="176"/>
      <c r="F117" s="176"/>
      <c r="G117" s="161"/>
      <c r="H117" s="176"/>
      <c r="I117" s="176"/>
      <c r="J117" s="161"/>
      <c r="K117" s="176"/>
      <c r="L117" s="176"/>
      <c r="M117" s="161"/>
      <c r="N117" s="190"/>
      <c r="O117" s="190"/>
      <c r="P117" s="161"/>
      <c r="Q117" s="161"/>
    </row>
    <row r="118" spans="1:17">
      <c r="A118" s="189"/>
      <c r="B118" s="176"/>
      <c r="C118" s="176"/>
      <c r="D118" s="161"/>
      <c r="E118" s="176"/>
      <c r="F118" s="176"/>
      <c r="G118" s="161"/>
      <c r="H118" s="176"/>
      <c r="I118" s="176"/>
      <c r="J118" s="161"/>
      <c r="K118" s="176"/>
      <c r="L118" s="176"/>
      <c r="M118" s="161"/>
      <c r="N118" s="190"/>
      <c r="O118" s="190"/>
      <c r="P118" s="161"/>
      <c r="Q118" s="161"/>
    </row>
    <row r="119" spans="1:17">
      <c r="A119" s="189"/>
      <c r="B119" s="176"/>
      <c r="C119" s="176"/>
      <c r="D119" s="161"/>
      <c r="E119" s="176"/>
      <c r="F119" s="176"/>
      <c r="G119" s="161"/>
      <c r="H119" s="176"/>
      <c r="I119" s="176"/>
      <c r="J119" s="161"/>
      <c r="K119" s="176"/>
      <c r="L119" s="176"/>
      <c r="M119" s="161"/>
      <c r="N119" s="190"/>
      <c r="O119" s="190"/>
      <c r="P119" s="161"/>
      <c r="Q119" s="161"/>
    </row>
    <row r="120" spans="1:17">
      <c r="A120" s="189"/>
      <c r="B120" s="176"/>
      <c r="C120" s="176"/>
      <c r="D120" s="161"/>
      <c r="E120" s="176"/>
      <c r="F120" s="176"/>
      <c r="G120" s="161"/>
      <c r="H120" s="176"/>
      <c r="I120" s="176"/>
      <c r="J120" s="161"/>
      <c r="K120" s="176"/>
      <c r="L120" s="176"/>
      <c r="M120" s="161"/>
      <c r="N120" s="190"/>
      <c r="O120" s="190"/>
      <c r="P120" s="161"/>
      <c r="Q120" s="161"/>
    </row>
  </sheetData>
  <protectedRanges>
    <protectedRange sqref="B29:B46 C30:J30 C32:F32 C34:F34 D38:D43 F38:F42 G38:H38 G40:H40 G42:H42" name="Auto1"/>
    <protectedRange sqref="A3:D3 I3 P3 B8:C10 C14:C16 F14:G14 B19:B24 C21:D21 B29:B46 D38:D43 F38:F42" name="Auto"/>
    <protectedRange sqref="E51:F99 B51:C99 H51:I99 K51:L99" name="Auto_1"/>
  </protectedRanges>
  <mergeCells count="24">
    <mergeCell ref="C36:H36"/>
    <mergeCell ref="A27:J27"/>
    <mergeCell ref="A28:B28"/>
    <mergeCell ref="C28:J28"/>
    <mergeCell ref="A49:A50"/>
    <mergeCell ref="B49:C49"/>
    <mergeCell ref="H49:I49"/>
    <mergeCell ref="J49:J50"/>
    <mergeCell ref="D49:D50"/>
    <mergeCell ref="E49:F49"/>
    <mergeCell ref="G49:G50"/>
    <mergeCell ref="A1:S1"/>
    <mergeCell ref="A6:D6"/>
    <mergeCell ref="A12:E12"/>
    <mergeCell ref="F12:G12"/>
    <mergeCell ref="H12:M12"/>
    <mergeCell ref="N12:Q12"/>
    <mergeCell ref="Q49:Q50"/>
    <mergeCell ref="T49:AB49"/>
    <mergeCell ref="K49:L49"/>
    <mergeCell ref="M49:M50"/>
    <mergeCell ref="N49:N50"/>
    <mergeCell ref="O49:O50"/>
    <mergeCell ref="P49:P50"/>
  </mergeCells>
  <phoneticPr fontId="2" type="noConversion"/>
  <conditionalFormatting sqref="K3">
    <cfRule type="cellIs" dxfId="6" priority="5" operator="equal">
      <formula>0</formula>
    </cfRule>
  </conditionalFormatting>
  <conditionalFormatting sqref="N51:O51 O52:O99">
    <cfRule type="containsText" dxfId="5" priority="3" operator="containsText" text="未填写">
      <formula>NOT(ISERROR(SEARCH("未填写",N51)))</formula>
    </cfRule>
  </conditionalFormatting>
  <conditionalFormatting sqref="O100:O120">
    <cfRule type="containsText" dxfId="4" priority="2" operator="containsText" text="未填写">
      <formula>NOT(ISERROR(SEARCH("未填写",O100)))</formula>
    </cfRule>
  </conditionalFormatting>
  <conditionalFormatting sqref="N52:N120">
    <cfRule type="containsText" dxfId="1" priority="1" operator="containsText" text="未填写">
      <formula>NOT(ISERROR(SEARCH("未填写",N52)))</formula>
    </cfRule>
  </conditionalFormatting>
  <dataValidations count="12">
    <dataValidation type="list" allowBlank="1" showInputMessage="1" showErrorMessage="1" sqref="D40">
      <formula1>"False,Ture"</formula1>
    </dataValidation>
    <dataValidation type="list" allowBlank="1" showInputMessage="1" showErrorMessage="1" sqref="D42">
      <formula1>"0,1,2,3"</formula1>
    </dataValidation>
    <dataValidation type="list" allowBlank="1" showInputMessage="1" showErrorMessage="1" sqref="D41">
      <formula1>"1,2,3,4,5,6,7,8,9,10,11,12"</formula1>
    </dataValidation>
    <dataValidation type="list" allowBlank="1" showInputMessage="1" showErrorMessage="1" sqref="B24">
      <formula1>"TDD,FDD"</formula1>
    </dataValidation>
    <dataValidation type="whole" allowBlank="1" showInputMessage="1" showErrorMessage="1" sqref="B19">
      <formula1>0</formula1>
      <formula2>255</formula2>
    </dataValidation>
    <dataValidation type="list" allowBlank="1" showInputMessage="1" showErrorMessage="1" sqref="B23">
      <formula1>"15,30,60"</formula1>
    </dataValidation>
    <dataValidation type="list" allowBlank="1" showInputMessage="1" showErrorMessage="1" sqref="B20">
      <formula1>"1,2,4,8"</formula1>
    </dataValidation>
    <dataValidation type="list" allowBlank="1" showInputMessage="1" showErrorMessage="1" sqref="F14">
      <formula1>"11,12,13,14,15"</formula1>
    </dataValidation>
    <dataValidation type="list" allowBlank="1" showInputMessage="1" showErrorMessage="1" sqref="C3 B22">
      <formula1>"15,30"</formula1>
    </dataValidation>
    <dataValidation type="list" allowBlank="1" showInputMessage="1" showErrorMessage="1" sqref="B3">
      <formula1>"5,10,15,20,25,30,40,50,60,80,90,100"</formula1>
    </dataValidation>
    <dataValidation type="list" allowBlank="1" showInputMessage="1" showErrorMessage="1" sqref="A3">
      <formula1>"41,78"</formula1>
    </dataValidation>
    <dataValidation type="list" allowBlank="1" showInputMessage="1" showErrorMessage="1" sqref="P3">
      <formula1>"0,1,2,3,4,5,6,7,8,9,10,11,12,13,14,15"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274"/>
  <sheetViews>
    <sheetView workbookViewId="0">
      <pane ySplit="1" topLeftCell="A8" activePane="bottomLeft" state="frozen"/>
      <selection pane="bottomLeft"/>
    </sheetView>
  </sheetViews>
  <sheetFormatPr defaultRowHeight="13.5"/>
  <cols>
    <col min="5" max="6" width="17.25" customWidth="1"/>
    <col min="7" max="7" width="14.375" customWidth="1"/>
    <col min="8" max="8" width="16" customWidth="1"/>
    <col min="10" max="10" width="17" bestFit="1" customWidth="1"/>
  </cols>
  <sheetData>
    <row r="1" spans="1:13" ht="25.5" customHeight="1">
      <c r="A1" s="148"/>
      <c r="B1" s="148"/>
      <c r="C1" s="148"/>
      <c r="D1" s="149"/>
      <c r="E1" s="146" t="s">
        <v>156</v>
      </c>
      <c r="F1" s="146" t="s">
        <v>153</v>
      </c>
      <c r="G1" s="147" t="s">
        <v>154</v>
      </c>
      <c r="H1" s="147" t="s">
        <v>155</v>
      </c>
      <c r="I1" s="148"/>
      <c r="J1" s="148"/>
      <c r="K1" s="148"/>
      <c r="L1" s="148"/>
      <c r="M1" s="148"/>
    </row>
    <row r="2" spans="1:13">
      <c r="A2" s="148"/>
      <c r="B2" s="148"/>
      <c r="C2" s="148"/>
      <c r="D2" s="149"/>
      <c r="E2" s="3">
        <v>272</v>
      </c>
      <c r="G2" s="157"/>
      <c r="I2" s="148"/>
      <c r="J2" s="148"/>
      <c r="K2" s="148"/>
      <c r="L2" s="148"/>
      <c r="M2" s="148"/>
    </row>
    <row r="3" spans="1:13">
      <c r="A3" s="148"/>
      <c r="B3" s="148"/>
      <c r="C3" s="148"/>
      <c r="D3" s="149"/>
      <c r="E3" s="3">
        <v>271</v>
      </c>
      <c r="G3" s="157"/>
      <c r="I3" s="148"/>
      <c r="J3" s="148"/>
      <c r="K3" s="148"/>
      <c r="L3" s="148"/>
      <c r="M3" s="148"/>
    </row>
    <row r="4" spans="1:13">
      <c r="A4" s="148"/>
      <c r="B4" s="148"/>
      <c r="C4" s="148"/>
      <c r="D4" s="149"/>
      <c r="E4" s="3">
        <v>270</v>
      </c>
      <c r="G4" s="157"/>
      <c r="I4" s="148"/>
      <c r="J4" s="148"/>
      <c r="K4" s="148"/>
      <c r="L4" s="148"/>
      <c r="M4" s="148"/>
    </row>
    <row r="5" spans="1:13">
      <c r="A5" s="148"/>
      <c r="B5" s="148"/>
      <c r="C5" s="148"/>
      <c r="D5" s="149"/>
      <c r="E5" s="3">
        <v>269</v>
      </c>
      <c r="G5" s="157"/>
      <c r="I5" s="148"/>
      <c r="J5" s="148"/>
      <c r="K5" s="148"/>
      <c r="L5" s="148"/>
      <c r="M5" s="148"/>
    </row>
    <row r="6" spans="1:13">
      <c r="A6" s="148"/>
      <c r="B6" s="148"/>
      <c r="C6" s="148"/>
      <c r="D6" s="149"/>
      <c r="E6" s="3">
        <v>268</v>
      </c>
      <c r="G6" s="157"/>
      <c r="I6" s="148"/>
      <c r="J6" s="148"/>
      <c r="K6" s="148"/>
      <c r="L6" s="148"/>
      <c r="M6" s="148"/>
    </row>
    <row r="7" spans="1:13">
      <c r="A7" s="148"/>
      <c r="B7" s="148"/>
      <c r="C7" s="148"/>
      <c r="D7" s="149"/>
      <c r="E7" s="3">
        <v>267</v>
      </c>
      <c r="G7" s="157"/>
      <c r="I7" s="148"/>
      <c r="J7" s="148"/>
      <c r="K7" s="148"/>
      <c r="L7" s="148"/>
      <c r="M7" s="148"/>
    </row>
    <row r="8" spans="1:13">
      <c r="A8" s="148"/>
      <c r="B8" s="148"/>
      <c r="C8" s="148"/>
      <c r="D8" s="149"/>
      <c r="E8" s="3">
        <v>266</v>
      </c>
      <c r="G8" s="157"/>
      <c r="I8" s="148"/>
      <c r="J8" s="148"/>
      <c r="K8" s="148"/>
      <c r="L8" s="148"/>
      <c r="M8" s="148"/>
    </row>
    <row r="9" spans="1:13">
      <c r="A9" s="148"/>
      <c r="B9" s="148"/>
      <c r="C9" s="148"/>
      <c r="D9" s="149"/>
      <c r="E9" s="3">
        <v>265</v>
      </c>
      <c r="G9" s="157"/>
      <c r="I9" s="148"/>
      <c r="J9" s="148"/>
      <c r="K9" s="148"/>
      <c r="L9" s="148"/>
      <c r="M9" s="148"/>
    </row>
    <row r="10" spans="1:13">
      <c r="A10" s="148"/>
      <c r="B10" s="148"/>
      <c r="C10" s="148"/>
      <c r="D10" s="149"/>
      <c r="E10" s="3">
        <v>264</v>
      </c>
      <c r="G10" s="157"/>
      <c r="I10" s="148"/>
      <c r="J10" s="148"/>
      <c r="K10" s="148"/>
      <c r="L10" s="148"/>
      <c r="M10" s="148"/>
    </row>
    <row r="11" spans="1:13">
      <c r="A11" s="148"/>
      <c r="B11" s="148"/>
      <c r="C11" s="148"/>
      <c r="D11" s="149"/>
      <c r="E11" s="3">
        <v>263</v>
      </c>
      <c r="G11" s="157"/>
      <c r="I11" s="148"/>
      <c r="J11" s="148"/>
      <c r="K11" s="148"/>
      <c r="L11" s="148"/>
      <c r="M11" s="148"/>
    </row>
    <row r="12" spans="1:13">
      <c r="A12" s="148"/>
      <c r="B12" s="148"/>
      <c r="C12" s="148"/>
      <c r="D12" s="149"/>
      <c r="E12" s="3">
        <v>262</v>
      </c>
      <c r="G12" s="157"/>
      <c r="I12" s="148"/>
      <c r="J12" s="148"/>
      <c r="K12" s="148"/>
      <c r="L12" s="148"/>
      <c r="M12" s="148"/>
    </row>
    <row r="13" spans="1:13">
      <c r="A13" s="148"/>
      <c r="B13" s="148"/>
      <c r="C13" s="148"/>
      <c r="D13" s="149"/>
      <c r="E13" s="3">
        <v>261</v>
      </c>
      <c r="G13" s="157"/>
      <c r="I13" s="148"/>
      <c r="J13" s="148"/>
      <c r="K13" s="148"/>
      <c r="L13" s="148"/>
      <c r="M13" s="148"/>
    </row>
    <row r="14" spans="1:13">
      <c r="A14" s="148"/>
      <c r="B14" s="148"/>
      <c r="C14" s="148"/>
      <c r="D14" s="149"/>
      <c r="E14" s="3">
        <v>260</v>
      </c>
      <c r="G14" s="157"/>
      <c r="I14" s="148"/>
      <c r="J14" s="148"/>
      <c r="K14" s="148"/>
      <c r="L14" s="148"/>
      <c r="M14" s="148"/>
    </row>
    <row r="15" spans="1:13">
      <c r="A15" s="148"/>
      <c r="B15" s="148"/>
      <c r="C15" s="148"/>
      <c r="D15" s="149"/>
      <c r="E15" s="3">
        <v>259</v>
      </c>
      <c r="G15" s="157"/>
      <c r="I15" s="148"/>
      <c r="J15" s="148"/>
      <c r="K15" s="148"/>
      <c r="L15" s="148"/>
      <c r="M15" s="148"/>
    </row>
    <row r="16" spans="1:13">
      <c r="A16" s="148"/>
      <c r="B16" s="148"/>
      <c r="C16" s="148"/>
      <c r="D16" s="149"/>
      <c r="E16" s="3">
        <v>258</v>
      </c>
      <c r="G16" s="157"/>
      <c r="I16" s="148"/>
      <c r="J16" s="148"/>
      <c r="K16" s="148"/>
      <c r="L16" s="148"/>
      <c r="M16" s="148"/>
    </row>
    <row r="17" spans="1:13">
      <c r="A17" s="148"/>
      <c r="B17" s="148"/>
      <c r="C17" s="148"/>
      <c r="D17" s="149"/>
      <c r="E17" s="3">
        <v>257</v>
      </c>
      <c r="G17" s="157"/>
      <c r="I17" s="148"/>
      <c r="J17" s="148"/>
      <c r="K17" s="148"/>
      <c r="L17" s="148"/>
      <c r="M17" s="148"/>
    </row>
    <row r="18" spans="1:13">
      <c r="A18" s="148"/>
      <c r="B18" s="148"/>
      <c r="C18" s="148"/>
      <c r="D18" s="149"/>
      <c r="E18" s="3">
        <v>256</v>
      </c>
      <c r="G18" s="157"/>
      <c r="I18" s="148"/>
      <c r="J18" s="148"/>
      <c r="K18" s="148"/>
      <c r="L18" s="148"/>
      <c r="M18" s="148"/>
    </row>
    <row r="19" spans="1:13">
      <c r="A19" s="148"/>
      <c r="B19" s="148"/>
      <c r="C19" s="148"/>
      <c r="D19" s="149"/>
      <c r="E19" s="3">
        <v>255</v>
      </c>
      <c r="G19" s="157"/>
      <c r="I19" s="148"/>
      <c r="J19" s="148"/>
      <c r="K19" s="148"/>
      <c r="L19" s="148"/>
      <c r="M19" s="148"/>
    </row>
    <row r="20" spans="1:13">
      <c r="A20" s="148"/>
      <c r="B20" s="148"/>
      <c r="C20" s="148"/>
      <c r="D20" s="149"/>
      <c r="E20" s="3">
        <v>254</v>
      </c>
      <c r="G20" s="157"/>
      <c r="I20" s="148"/>
      <c r="J20" s="148"/>
      <c r="K20" s="148"/>
      <c r="L20" s="148"/>
      <c r="M20" s="148"/>
    </row>
    <row r="21" spans="1:13">
      <c r="A21" s="148"/>
      <c r="B21" s="148"/>
      <c r="C21" s="148"/>
      <c r="D21" s="149"/>
      <c r="E21" s="3">
        <v>253</v>
      </c>
      <c r="G21" s="157"/>
      <c r="I21" s="148"/>
      <c r="J21" s="148"/>
      <c r="K21" s="148"/>
      <c r="L21" s="148"/>
      <c r="M21" s="148"/>
    </row>
    <row r="22" spans="1:13">
      <c r="A22" s="148"/>
      <c r="B22" s="148"/>
      <c r="C22" s="148"/>
      <c r="D22" s="149"/>
      <c r="E22" s="3">
        <v>252</v>
      </c>
      <c r="G22" s="157"/>
      <c r="I22" s="148"/>
      <c r="J22" s="148"/>
      <c r="K22" s="148"/>
      <c r="L22" s="148"/>
      <c r="M22" s="148"/>
    </row>
    <row r="23" spans="1:13">
      <c r="A23" s="148"/>
      <c r="B23" s="148"/>
      <c r="C23" s="148"/>
      <c r="D23" s="149"/>
      <c r="E23" s="3">
        <v>251</v>
      </c>
      <c r="G23" s="157"/>
      <c r="I23" s="148"/>
      <c r="J23" s="148"/>
      <c r="K23" s="148"/>
      <c r="L23" s="148"/>
      <c r="M23" s="148"/>
    </row>
    <row r="24" spans="1:13">
      <c r="A24" s="148"/>
      <c r="B24" s="148"/>
      <c r="C24" s="148"/>
      <c r="D24" s="149"/>
      <c r="E24" s="3">
        <v>250</v>
      </c>
      <c r="G24" s="157"/>
      <c r="I24" s="148"/>
      <c r="J24" s="148"/>
      <c r="K24" s="148"/>
      <c r="L24" s="148"/>
      <c r="M24" s="148"/>
    </row>
    <row r="25" spans="1:13">
      <c r="A25" s="148"/>
      <c r="B25" s="148"/>
      <c r="C25" s="148"/>
      <c r="D25" s="149"/>
      <c r="E25" s="3">
        <v>249</v>
      </c>
      <c r="G25" s="157"/>
      <c r="I25" s="148"/>
      <c r="J25" s="148"/>
      <c r="K25" s="148"/>
      <c r="L25" s="148"/>
      <c r="M25" s="148"/>
    </row>
    <row r="26" spans="1:13">
      <c r="A26" s="148"/>
      <c r="B26" s="148"/>
      <c r="C26" s="148"/>
      <c r="D26" s="149"/>
      <c r="E26" s="3">
        <v>248</v>
      </c>
      <c r="G26" s="157"/>
      <c r="I26" s="148"/>
      <c r="J26" s="148"/>
      <c r="K26" s="148"/>
      <c r="L26" s="148"/>
      <c r="M26" s="148"/>
    </row>
    <row r="27" spans="1:13">
      <c r="A27" s="148"/>
      <c r="B27" s="148"/>
      <c r="C27" s="148"/>
      <c r="D27" s="149"/>
      <c r="E27" s="3">
        <v>247</v>
      </c>
      <c r="G27" s="157"/>
      <c r="I27" s="148"/>
      <c r="J27" s="148"/>
      <c r="K27" s="148"/>
      <c r="L27" s="148"/>
      <c r="M27" s="148"/>
    </row>
    <row r="28" spans="1:13">
      <c r="A28" s="148"/>
      <c r="B28" s="148"/>
      <c r="C28" s="148"/>
      <c r="D28" s="149"/>
      <c r="E28" s="3">
        <v>246</v>
      </c>
      <c r="G28" s="157"/>
      <c r="I28" s="148"/>
      <c r="J28" s="148"/>
      <c r="K28" s="148"/>
      <c r="L28" s="148"/>
      <c r="M28" s="148"/>
    </row>
    <row r="29" spans="1:13">
      <c r="A29" s="148"/>
      <c r="B29" s="148"/>
      <c r="C29" s="148"/>
      <c r="D29" s="149"/>
      <c r="E29" s="3">
        <v>245</v>
      </c>
      <c r="G29" s="157"/>
      <c r="I29" s="148"/>
      <c r="J29" s="148"/>
      <c r="K29" s="148"/>
      <c r="L29" s="148"/>
      <c r="M29" s="148"/>
    </row>
    <row r="30" spans="1:13">
      <c r="A30" s="148"/>
      <c r="B30" s="148"/>
      <c r="C30" s="148"/>
      <c r="D30" s="149"/>
      <c r="E30" s="3">
        <v>244</v>
      </c>
      <c r="G30" s="157"/>
      <c r="I30" s="148"/>
      <c r="J30" s="148"/>
      <c r="K30" s="148"/>
      <c r="L30" s="148"/>
      <c r="M30" s="148"/>
    </row>
    <row r="31" spans="1:13">
      <c r="A31" s="148"/>
      <c r="B31" s="148"/>
      <c r="C31" s="148"/>
      <c r="D31" s="149"/>
      <c r="E31" s="3">
        <v>243</v>
      </c>
      <c r="G31" s="157"/>
      <c r="I31" s="148"/>
      <c r="J31" s="148"/>
      <c r="K31" s="148"/>
      <c r="L31" s="148"/>
      <c r="M31" s="148"/>
    </row>
    <row r="32" spans="1:13">
      <c r="A32" s="148"/>
      <c r="B32" s="148"/>
      <c r="C32" s="148"/>
      <c r="D32" s="149"/>
      <c r="E32" s="3">
        <v>242</v>
      </c>
      <c r="G32" s="157"/>
      <c r="I32" s="148"/>
      <c r="J32" s="148"/>
      <c r="K32" s="148"/>
      <c r="L32" s="148"/>
      <c r="M32" s="148"/>
    </row>
    <row r="33" spans="1:13">
      <c r="A33" s="148"/>
      <c r="B33" s="148"/>
      <c r="C33" s="148"/>
      <c r="D33" s="149"/>
      <c r="E33" s="3">
        <v>241</v>
      </c>
      <c r="G33" s="157"/>
      <c r="I33" s="148"/>
      <c r="J33" s="148"/>
      <c r="K33" s="148"/>
      <c r="L33" s="148"/>
      <c r="M33" s="148"/>
    </row>
    <row r="34" spans="1:13">
      <c r="A34" s="148"/>
      <c r="B34" s="148"/>
      <c r="C34" s="148"/>
      <c r="D34" s="149"/>
      <c r="E34" s="3">
        <v>240</v>
      </c>
      <c r="G34" s="157"/>
      <c r="I34" s="148"/>
      <c r="J34" s="148"/>
      <c r="K34" s="148"/>
      <c r="L34" s="148"/>
      <c r="M34" s="148"/>
    </row>
    <row r="35" spans="1:13">
      <c r="A35" s="148"/>
      <c r="B35" s="148"/>
      <c r="C35" s="148"/>
      <c r="D35" s="149"/>
      <c r="E35" s="3">
        <v>239</v>
      </c>
      <c r="G35" s="157"/>
      <c r="I35" s="148"/>
      <c r="J35" s="148"/>
      <c r="K35" s="148"/>
      <c r="L35" s="148"/>
      <c r="M35" s="148"/>
    </row>
    <row r="36" spans="1:13">
      <c r="A36" s="148"/>
      <c r="B36" s="148"/>
      <c r="C36" s="148"/>
      <c r="D36" s="149"/>
      <c r="E36" s="3">
        <v>238</v>
      </c>
      <c r="G36" s="157"/>
      <c r="I36" s="148"/>
      <c r="J36" s="148"/>
      <c r="K36" s="148"/>
      <c r="L36" s="148"/>
      <c r="M36" s="148"/>
    </row>
    <row r="37" spans="1:13">
      <c r="A37" s="148"/>
      <c r="B37" s="148"/>
      <c r="C37" s="148"/>
      <c r="D37" s="149"/>
      <c r="E37" s="3">
        <v>237</v>
      </c>
      <c r="G37" s="157"/>
      <c r="I37" s="148"/>
      <c r="J37" s="148"/>
      <c r="K37" s="148"/>
      <c r="L37" s="148"/>
      <c r="M37" s="148"/>
    </row>
    <row r="38" spans="1:13">
      <c r="A38" s="148"/>
      <c r="B38" s="148"/>
      <c r="C38" s="148"/>
      <c r="D38" s="149"/>
      <c r="E38" s="3">
        <v>236</v>
      </c>
      <c r="G38" s="157"/>
      <c r="I38" s="148"/>
      <c r="J38" s="148"/>
      <c r="K38" s="148"/>
      <c r="L38" s="148"/>
      <c r="M38" s="148"/>
    </row>
    <row r="39" spans="1:13">
      <c r="A39" s="148"/>
      <c r="B39" s="148"/>
      <c r="C39" s="148"/>
      <c r="D39" s="149"/>
      <c r="E39" s="3">
        <v>235</v>
      </c>
      <c r="G39" s="157"/>
      <c r="I39" s="148"/>
      <c r="J39" s="148"/>
      <c r="K39" s="148"/>
      <c r="L39" s="148"/>
      <c r="M39" s="148"/>
    </row>
    <row r="40" spans="1:13">
      <c r="A40" s="148"/>
      <c r="B40" s="148"/>
      <c r="C40" s="148"/>
      <c r="D40" s="149"/>
      <c r="E40" s="3">
        <v>234</v>
      </c>
      <c r="G40" s="157"/>
      <c r="I40" s="148"/>
      <c r="J40" s="148"/>
      <c r="K40" s="148"/>
      <c r="L40" s="148"/>
      <c r="M40" s="148"/>
    </row>
    <row r="41" spans="1:13">
      <c r="A41" s="148"/>
      <c r="B41" s="148"/>
      <c r="C41" s="148"/>
      <c r="D41" s="149"/>
      <c r="E41" s="3">
        <v>233</v>
      </c>
      <c r="G41" s="157"/>
      <c r="I41" s="148"/>
      <c r="J41" s="148"/>
      <c r="K41" s="148"/>
      <c r="L41" s="148"/>
      <c r="M41" s="148"/>
    </row>
    <row r="42" spans="1:13">
      <c r="A42" s="148"/>
      <c r="B42" s="148"/>
      <c r="C42" s="148"/>
      <c r="D42" s="149"/>
      <c r="E42" s="3">
        <v>232</v>
      </c>
      <c r="G42" s="157"/>
      <c r="I42" s="148"/>
      <c r="J42" s="148"/>
      <c r="K42" s="148"/>
      <c r="L42" s="148"/>
      <c r="M42" s="148"/>
    </row>
    <row r="43" spans="1:13">
      <c r="A43" s="148"/>
      <c r="B43" s="148"/>
      <c r="C43" s="148"/>
      <c r="D43" s="149"/>
      <c r="E43" s="3">
        <v>231</v>
      </c>
      <c r="G43" s="157"/>
      <c r="I43" s="148"/>
      <c r="J43" s="148"/>
      <c r="K43" s="148"/>
      <c r="L43" s="148"/>
      <c r="M43" s="148"/>
    </row>
    <row r="44" spans="1:13">
      <c r="A44" s="148"/>
      <c r="B44" s="148"/>
      <c r="C44" s="148"/>
      <c r="D44" s="149"/>
      <c r="E44" s="3">
        <v>230</v>
      </c>
      <c r="G44" s="157"/>
      <c r="I44" s="148"/>
      <c r="J44" s="148"/>
      <c r="K44" s="148"/>
      <c r="L44" s="148"/>
      <c r="M44" s="148"/>
    </row>
    <row r="45" spans="1:13">
      <c r="A45" s="148"/>
      <c r="B45" s="148"/>
      <c r="C45" s="148"/>
      <c r="D45" s="149"/>
      <c r="E45" s="3">
        <v>229</v>
      </c>
      <c r="G45" s="157"/>
      <c r="I45" s="148"/>
      <c r="J45" s="148"/>
      <c r="K45" s="148"/>
      <c r="L45" s="148"/>
      <c r="M45" s="148"/>
    </row>
    <row r="46" spans="1:13">
      <c r="A46" s="148"/>
      <c r="B46" s="148"/>
      <c r="C46" s="148"/>
      <c r="D46" s="149"/>
      <c r="E46" s="3">
        <v>228</v>
      </c>
      <c r="G46" s="157"/>
      <c r="I46" s="148"/>
      <c r="J46" s="148"/>
      <c r="K46" s="148"/>
      <c r="L46" s="148"/>
      <c r="M46" s="148"/>
    </row>
    <row r="47" spans="1:13">
      <c r="A47" s="148"/>
      <c r="B47" s="148"/>
      <c r="C47" s="148"/>
      <c r="D47" s="149"/>
      <c r="E47" s="3">
        <v>227</v>
      </c>
      <c r="G47" s="157"/>
      <c r="I47" s="148"/>
      <c r="J47" s="148"/>
      <c r="K47" s="148"/>
      <c r="L47" s="148"/>
      <c r="M47" s="148"/>
    </row>
    <row r="48" spans="1:13">
      <c r="A48" s="148"/>
      <c r="B48" s="148"/>
      <c r="C48" s="148"/>
      <c r="D48" s="149"/>
      <c r="E48" s="3">
        <v>226</v>
      </c>
      <c r="G48" s="157"/>
      <c r="I48" s="148"/>
      <c r="J48" s="148"/>
      <c r="K48" s="148"/>
      <c r="L48" s="148"/>
      <c r="M48" s="148"/>
    </row>
    <row r="49" spans="1:13">
      <c r="A49" s="148"/>
      <c r="B49" s="148"/>
      <c r="C49" s="148"/>
      <c r="D49" s="149"/>
      <c r="E49" s="3">
        <v>225</v>
      </c>
      <c r="G49" s="157"/>
      <c r="I49" s="148"/>
      <c r="J49" s="148"/>
      <c r="K49" s="148"/>
      <c r="L49" s="148"/>
      <c r="M49" s="148"/>
    </row>
    <row r="50" spans="1:13">
      <c r="A50" s="148"/>
      <c r="B50" s="148"/>
      <c r="C50" s="148"/>
      <c r="D50" s="149"/>
      <c r="E50" s="3">
        <v>224</v>
      </c>
      <c r="G50" s="157"/>
      <c r="I50" s="148"/>
      <c r="J50" s="148"/>
      <c r="K50" s="148"/>
      <c r="L50" s="148"/>
      <c r="M50" s="148"/>
    </row>
    <row r="51" spans="1:13">
      <c r="A51" s="148"/>
      <c r="B51" s="148"/>
      <c r="C51" s="148"/>
      <c r="D51" s="149"/>
      <c r="E51" s="3">
        <v>223</v>
      </c>
      <c r="G51" s="157"/>
      <c r="I51" s="148"/>
      <c r="J51" s="148"/>
      <c r="K51" s="148"/>
      <c r="L51" s="148"/>
      <c r="M51" s="148"/>
    </row>
    <row r="52" spans="1:13">
      <c r="A52" s="148"/>
      <c r="B52" s="148"/>
      <c r="C52" s="148"/>
      <c r="D52" s="149"/>
      <c r="E52" s="3">
        <v>222</v>
      </c>
      <c r="G52" s="157"/>
      <c r="I52" s="148"/>
      <c r="J52" s="148"/>
      <c r="K52" s="148"/>
      <c r="L52" s="148"/>
      <c r="M52" s="148"/>
    </row>
    <row r="53" spans="1:13">
      <c r="A53" s="148"/>
      <c r="B53" s="148"/>
      <c r="C53" s="148"/>
      <c r="D53" s="149"/>
      <c r="E53" s="3">
        <v>221</v>
      </c>
      <c r="G53" s="157"/>
      <c r="I53" s="148"/>
      <c r="J53" s="148"/>
      <c r="K53" s="148"/>
      <c r="L53" s="148"/>
      <c r="M53" s="148"/>
    </row>
    <row r="54" spans="1:13">
      <c r="A54" s="148"/>
      <c r="B54" s="148"/>
      <c r="C54" s="148"/>
      <c r="D54" s="149"/>
      <c r="E54" s="3">
        <v>220</v>
      </c>
      <c r="G54" s="157"/>
      <c r="I54" s="148"/>
      <c r="J54" s="148"/>
      <c r="K54" s="148"/>
      <c r="L54" s="148"/>
      <c r="M54" s="148"/>
    </row>
    <row r="55" spans="1:13">
      <c r="A55" s="148"/>
      <c r="B55" s="148"/>
      <c r="C55" s="148"/>
      <c r="D55" s="149"/>
      <c r="E55" s="3">
        <v>219</v>
      </c>
      <c r="G55" s="157"/>
      <c r="I55" s="148"/>
      <c r="J55" s="148"/>
      <c r="K55" s="148"/>
      <c r="L55" s="148"/>
      <c r="M55" s="148"/>
    </row>
    <row r="56" spans="1:13">
      <c r="A56" s="148"/>
      <c r="B56" s="148"/>
      <c r="C56" s="148"/>
      <c r="D56" s="149"/>
      <c r="E56" s="3">
        <v>218</v>
      </c>
      <c r="G56" s="157"/>
      <c r="I56" s="148"/>
      <c r="J56" s="148"/>
      <c r="K56" s="148"/>
      <c r="L56" s="148"/>
      <c r="M56" s="148"/>
    </row>
    <row r="57" spans="1:13">
      <c r="A57" s="148"/>
      <c r="B57" s="148"/>
      <c r="C57" s="148"/>
      <c r="D57" s="149"/>
      <c r="E57" s="3">
        <v>217</v>
      </c>
      <c r="G57" s="157"/>
      <c r="I57" s="148"/>
      <c r="J57" s="148"/>
      <c r="K57" s="148"/>
      <c r="L57" s="148"/>
      <c r="M57" s="148"/>
    </row>
    <row r="58" spans="1:13">
      <c r="A58" s="148"/>
      <c r="B58" s="148"/>
      <c r="C58" s="148"/>
      <c r="D58" s="149"/>
      <c r="E58" s="3">
        <v>216</v>
      </c>
      <c r="G58" s="157"/>
      <c r="I58" s="148"/>
      <c r="J58" s="148"/>
      <c r="K58" s="148"/>
      <c r="L58" s="148"/>
      <c r="M58" s="148"/>
    </row>
    <row r="59" spans="1:13">
      <c r="A59" s="148"/>
      <c r="B59" s="148"/>
      <c r="C59" s="148"/>
      <c r="D59" s="149"/>
      <c r="E59" s="3">
        <v>215</v>
      </c>
      <c r="G59" s="157"/>
      <c r="I59" s="148"/>
      <c r="J59" s="148"/>
      <c r="K59" s="148"/>
      <c r="L59" s="148"/>
      <c r="M59" s="148"/>
    </row>
    <row r="60" spans="1:13">
      <c r="A60" s="148"/>
      <c r="B60" s="148"/>
      <c r="C60" s="148"/>
      <c r="D60" s="149"/>
      <c r="E60" s="3">
        <v>214</v>
      </c>
      <c r="G60" s="157"/>
      <c r="I60" s="148"/>
      <c r="J60" s="148"/>
      <c r="K60" s="148"/>
      <c r="L60" s="148"/>
      <c r="M60" s="148"/>
    </row>
    <row r="61" spans="1:13">
      <c r="A61" s="148"/>
      <c r="B61" s="148"/>
      <c r="C61" s="148"/>
      <c r="D61" s="149"/>
      <c r="E61" s="3">
        <v>213</v>
      </c>
      <c r="G61" s="157"/>
      <c r="I61" s="148"/>
      <c r="J61" s="148"/>
      <c r="K61" s="148"/>
      <c r="L61" s="148"/>
      <c r="M61" s="148"/>
    </row>
    <row r="62" spans="1:13">
      <c r="A62" s="148"/>
      <c r="B62" s="148"/>
      <c r="C62" s="148"/>
      <c r="D62" s="149"/>
      <c r="E62" s="3">
        <v>212</v>
      </c>
      <c r="G62" s="157"/>
      <c r="I62" s="148"/>
      <c r="J62" s="148"/>
      <c r="K62" s="148"/>
      <c r="L62" s="148"/>
      <c r="M62" s="148"/>
    </row>
    <row r="63" spans="1:13">
      <c r="A63" s="148"/>
      <c r="B63" s="148"/>
      <c r="C63" s="148"/>
      <c r="D63" s="149"/>
      <c r="E63" s="3">
        <v>211</v>
      </c>
      <c r="G63" s="157"/>
      <c r="I63" s="148"/>
      <c r="J63" s="148"/>
      <c r="K63" s="148"/>
      <c r="L63" s="148"/>
      <c r="M63" s="148"/>
    </row>
    <row r="64" spans="1:13">
      <c r="A64" s="148"/>
      <c r="B64" s="148"/>
      <c r="C64" s="148"/>
      <c r="D64" s="149"/>
      <c r="E64" s="3">
        <v>210</v>
      </c>
      <c r="G64" s="157"/>
      <c r="I64" s="148"/>
      <c r="J64" s="148"/>
      <c r="K64" s="148"/>
      <c r="L64" s="148"/>
      <c r="M64" s="148"/>
    </row>
    <row r="65" spans="1:13">
      <c r="A65" s="148"/>
      <c r="B65" s="148"/>
      <c r="C65" s="148"/>
      <c r="D65" s="149"/>
      <c r="E65" s="3">
        <v>209</v>
      </c>
      <c r="G65" s="157"/>
      <c r="I65" s="148"/>
      <c r="J65" s="148"/>
      <c r="K65" s="148"/>
      <c r="L65" s="148"/>
      <c r="M65" s="148"/>
    </row>
    <row r="66" spans="1:13">
      <c r="A66" s="148"/>
      <c r="B66" s="148"/>
      <c r="C66" s="148"/>
      <c r="D66" s="149"/>
      <c r="E66" s="3">
        <v>208</v>
      </c>
      <c r="G66" s="157"/>
      <c r="I66" s="148"/>
      <c r="J66" s="148"/>
      <c r="K66" s="148"/>
      <c r="L66" s="148"/>
      <c r="M66" s="148"/>
    </row>
    <row r="67" spans="1:13">
      <c r="A67" s="148"/>
      <c r="B67" s="148"/>
      <c r="C67" s="148"/>
      <c r="D67" s="149"/>
      <c r="E67" s="3">
        <v>207</v>
      </c>
      <c r="G67" s="157"/>
      <c r="I67" s="148"/>
      <c r="J67" s="148"/>
      <c r="K67" s="148"/>
      <c r="L67" s="148"/>
      <c r="M67" s="148"/>
    </row>
    <row r="68" spans="1:13">
      <c r="A68" s="148"/>
      <c r="B68" s="148"/>
      <c r="C68" s="148"/>
      <c r="D68" s="149"/>
      <c r="E68" s="3">
        <v>206</v>
      </c>
      <c r="G68" s="157"/>
      <c r="I68" s="148"/>
      <c r="J68" s="148"/>
      <c r="K68" s="148"/>
      <c r="L68" s="148"/>
      <c r="M68" s="148"/>
    </row>
    <row r="69" spans="1:13">
      <c r="A69" s="148"/>
      <c r="B69" s="148"/>
      <c r="C69" s="148"/>
      <c r="D69" s="149"/>
      <c r="E69" s="3">
        <v>205</v>
      </c>
      <c r="G69" s="157"/>
      <c r="I69" s="148"/>
      <c r="J69" s="148"/>
      <c r="K69" s="148"/>
      <c r="L69" s="148"/>
      <c r="M69" s="148"/>
    </row>
    <row r="70" spans="1:13">
      <c r="A70" s="148"/>
      <c r="B70" s="148"/>
      <c r="C70" s="148"/>
      <c r="D70" s="149"/>
      <c r="E70" s="3">
        <v>204</v>
      </c>
      <c r="G70" s="157"/>
      <c r="I70" s="148"/>
      <c r="J70" s="148"/>
      <c r="K70" s="148"/>
      <c r="L70" s="148"/>
      <c r="M70" s="148"/>
    </row>
    <row r="71" spans="1:13">
      <c r="A71" s="148"/>
      <c r="B71" s="148"/>
      <c r="C71" s="148"/>
      <c r="D71" s="149"/>
      <c r="E71" s="3">
        <v>203</v>
      </c>
      <c r="G71" s="157"/>
      <c r="I71" s="148"/>
      <c r="J71" s="148"/>
      <c r="K71" s="148"/>
      <c r="L71" s="148"/>
      <c r="M71" s="148"/>
    </row>
    <row r="72" spans="1:13">
      <c r="A72" s="148"/>
      <c r="B72" s="148"/>
      <c r="C72" s="148"/>
      <c r="D72" s="149"/>
      <c r="E72" s="3">
        <v>202</v>
      </c>
      <c r="G72" s="157"/>
      <c r="I72" s="148"/>
      <c r="J72" s="148"/>
      <c r="K72" s="148"/>
      <c r="L72" s="148"/>
      <c r="M72" s="148"/>
    </row>
    <row r="73" spans="1:13">
      <c r="A73" s="148"/>
      <c r="B73" s="148"/>
      <c r="C73" s="148"/>
      <c r="D73" s="149"/>
      <c r="E73" s="3">
        <v>201</v>
      </c>
      <c r="G73" s="157"/>
      <c r="I73" s="148"/>
      <c r="J73" s="148"/>
      <c r="K73" s="148"/>
      <c r="L73" s="148"/>
      <c r="M73" s="148"/>
    </row>
    <row r="74" spans="1:13">
      <c r="A74" s="148"/>
      <c r="B74" s="148"/>
      <c r="C74" s="148"/>
      <c r="D74" s="149"/>
      <c r="E74" s="3">
        <v>200</v>
      </c>
      <c r="G74" s="157"/>
      <c r="I74" s="148"/>
      <c r="J74" s="148"/>
      <c r="K74" s="148"/>
      <c r="L74" s="148"/>
      <c r="M74" s="148"/>
    </row>
    <row r="75" spans="1:13">
      <c r="A75" s="148"/>
      <c r="B75" s="148"/>
      <c r="C75" s="148"/>
      <c r="D75" s="149"/>
      <c r="E75" s="3">
        <v>199</v>
      </c>
      <c r="G75" s="157"/>
      <c r="I75" s="148"/>
      <c r="J75" s="148"/>
      <c r="K75" s="148"/>
      <c r="L75" s="148"/>
      <c r="M75" s="148"/>
    </row>
    <row r="76" spans="1:13">
      <c r="A76" s="148"/>
      <c r="B76" s="148"/>
      <c r="C76" s="148"/>
      <c r="D76" s="149"/>
      <c r="E76" s="3">
        <v>198</v>
      </c>
      <c r="G76" s="157"/>
      <c r="I76" s="148"/>
      <c r="J76" s="148"/>
      <c r="K76" s="148"/>
      <c r="L76" s="148"/>
      <c r="M76" s="148"/>
    </row>
    <row r="77" spans="1:13">
      <c r="A77" s="148"/>
      <c r="B77" s="148"/>
      <c r="C77" s="148"/>
      <c r="D77" s="149"/>
      <c r="E77" s="3">
        <v>197</v>
      </c>
      <c r="G77" s="157"/>
      <c r="I77" s="148"/>
      <c r="J77" s="148"/>
      <c r="K77" s="148"/>
      <c r="L77" s="148"/>
      <c r="M77" s="148"/>
    </row>
    <row r="78" spans="1:13">
      <c r="A78" s="148"/>
      <c r="B78" s="148"/>
      <c r="C78" s="148"/>
      <c r="D78" s="149"/>
      <c r="E78" s="3">
        <v>196</v>
      </c>
      <c r="G78" s="157"/>
      <c r="I78" s="148"/>
      <c r="J78" s="148"/>
      <c r="K78" s="148"/>
      <c r="L78" s="148"/>
      <c r="M78" s="148"/>
    </row>
    <row r="79" spans="1:13">
      <c r="A79" s="148"/>
      <c r="B79" s="148"/>
      <c r="C79" s="148"/>
      <c r="D79" s="149"/>
      <c r="E79" s="3">
        <v>195</v>
      </c>
      <c r="G79" s="157"/>
      <c r="I79" s="148"/>
      <c r="J79" s="148"/>
      <c r="K79" s="148"/>
      <c r="L79" s="148"/>
      <c r="M79" s="148"/>
    </row>
    <row r="80" spans="1:13">
      <c r="A80" s="148"/>
      <c r="B80" s="148"/>
      <c r="C80" s="148"/>
      <c r="D80" s="149"/>
      <c r="E80" s="3">
        <v>194</v>
      </c>
      <c r="G80" s="157"/>
      <c r="I80" s="148"/>
      <c r="J80" s="148"/>
      <c r="K80" s="148"/>
      <c r="L80" s="148"/>
      <c r="M80" s="148"/>
    </row>
    <row r="81" spans="1:13">
      <c r="A81" s="148"/>
      <c r="B81" s="148"/>
      <c r="C81" s="148"/>
      <c r="D81" s="149"/>
      <c r="E81" s="3">
        <v>193</v>
      </c>
      <c r="G81" s="157"/>
      <c r="I81" s="148"/>
      <c r="J81" s="148"/>
      <c r="K81" s="148"/>
      <c r="L81" s="148"/>
      <c r="M81" s="148"/>
    </row>
    <row r="82" spans="1:13">
      <c r="A82" s="148"/>
      <c r="B82" s="148"/>
      <c r="C82" s="148"/>
      <c r="D82" s="149"/>
      <c r="E82" s="3">
        <v>192</v>
      </c>
      <c r="G82" s="157"/>
      <c r="I82" s="148"/>
      <c r="J82" s="148"/>
      <c r="K82" s="148"/>
      <c r="L82" s="148"/>
      <c r="M82" s="148"/>
    </row>
    <row r="83" spans="1:13">
      <c r="A83" s="148"/>
      <c r="B83" s="148"/>
      <c r="C83" s="148"/>
      <c r="D83" s="149"/>
      <c r="E83" s="3">
        <v>191</v>
      </c>
      <c r="G83" s="157"/>
      <c r="I83" s="148"/>
      <c r="J83" s="148"/>
      <c r="K83" s="148"/>
      <c r="L83" s="148"/>
      <c r="M83" s="148"/>
    </row>
    <row r="84" spans="1:13">
      <c r="A84" s="148"/>
      <c r="B84" s="148"/>
      <c r="C84" s="148"/>
      <c r="D84" s="149"/>
      <c r="E84" s="3">
        <v>190</v>
      </c>
      <c r="G84" s="157"/>
      <c r="I84" s="148"/>
      <c r="J84" s="148"/>
      <c r="K84" s="148"/>
      <c r="L84" s="148"/>
      <c r="M84" s="148"/>
    </row>
    <row r="85" spans="1:13">
      <c r="A85" s="148"/>
      <c r="B85" s="148"/>
      <c r="C85" s="148"/>
      <c r="D85" s="149"/>
      <c r="E85" s="3">
        <v>189</v>
      </c>
      <c r="G85" s="157"/>
      <c r="I85" s="148"/>
      <c r="J85" s="148"/>
      <c r="K85" s="148"/>
      <c r="L85" s="148"/>
      <c r="M85" s="148"/>
    </row>
    <row r="86" spans="1:13">
      <c r="A86" s="148"/>
      <c r="B86" s="148"/>
      <c r="C86" s="148"/>
      <c r="D86" s="149"/>
      <c r="E86" s="3">
        <v>188</v>
      </c>
      <c r="G86" s="157"/>
      <c r="I86" s="148"/>
      <c r="J86" s="148"/>
      <c r="K86" s="148"/>
      <c r="L86" s="148"/>
      <c r="M86" s="148"/>
    </row>
    <row r="87" spans="1:13">
      <c r="A87" s="148"/>
      <c r="B87" s="148"/>
      <c r="C87" s="148"/>
      <c r="D87" s="149"/>
      <c r="E87" s="3">
        <v>187</v>
      </c>
      <c r="G87" s="157"/>
      <c r="I87" s="148"/>
      <c r="J87" s="148"/>
      <c r="K87" s="148"/>
      <c r="L87" s="148"/>
      <c r="M87" s="148"/>
    </row>
    <row r="88" spans="1:13">
      <c r="A88" s="148"/>
      <c r="B88" s="148"/>
      <c r="C88" s="148"/>
      <c r="D88" s="149"/>
      <c r="E88" s="3">
        <v>186</v>
      </c>
      <c r="G88" s="157"/>
      <c r="I88" s="148"/>
      <c r="J88" s="148"/>
      <c r="K88" s="148"/>
      <c r="L88" s="148"/>
      <c r="M88" s="148"/>
    </row>
    <row r="89" spans="1:13">
      <c r="A89" s="148"/>
      <c r="B89" s="148"/>
      <c r="C89" s="148"/>
      <c r="D89" s="149"/>
      <c r="E89" s="3">
        <v>185</v>
      </c>
      <c r="G89" s="157"/>
      <c r="I89" s="148"/>
      <c r="J89" s="148"/>
      <c r="K89" s="148"/>
      <c r="L89" s="148"/>
      <c r="M89" s="148"/>
    </row>
    <row r="90" spans="1:13">
      <c r="A90" s="148"/>
      <c r="B90" s="148"/>
      <c r="C90" s="148"/>
      <c r="D90" s="149"/>
      <c r="E90" s="3">
        <v>184</v>
      </c>
      <c r="G90" s="157"/>
      <c r="I90" s="148"/>
      <c r="J90" s="148"/>
      <c r="K90" s="148"/>
      <c r="L90" s="148"/>
      <c r="M90" s="148"/>
    </row>
    <row r="91" spans="1:13">
      <c r="A91" s="148"/>
      <c r="B91" s="148"/>
      <c r="C91" s="148"/>
      <c r="D91" s="149"/>
      <c r="E91" s="3">
        <v>183</v>
      </c>
      <c r="G91" s="157"/>
      <c r="I91" s="148"/>
      <c r="J91" s="148"/>
      <c r="K91" s="148"/>
      <c r="L91" s="148"/>
      <c r="M91" s="148"/>
    </row>
    <row r="92" spans="1:13">
      <c r="A92" s="148"/>
      <c r="B92" s="148"/>
      <c r="C92" s="148"/>
      <c r="D92" s="149"/>
      <c r="E92" s="3">
        <v>182</v>
      </c>
      <c r="G92" s="157"/>
      <c r="I92" s="148"/>
      <c r="J92" s="148"/>
      <c r="K92" s="148"/>
      <c r="L92" s="148"/>
      <c r="M92" s="148"/>
    </row>
    <row r="93" spans="1:13">
      <c r="A93" s="148"/>
      <c r="B93" s="148"/>
      <c r="C93" s="148"/>
      <c r="D93" s="149"/>
      <c r="E93" s="3">
        <v>181</v>
      </c>
      <c r="G93" s="157"/>
      <c r="I93" s="148"/>
      <c r="J93" s="148"/>
      <c r="K93" s="148"/>
      <c r="L93" s="148"/>
      <c r="M93" s="148"/>
    </row>
    <row r="94" spans="1:13">
      <c r="A94" s="148"/>
      <c r="B94" s="148"/>
      <c r="C94" s="148"/>
      <c r="D94" s="149"/>
      <c r="E94" s="3">
        <v>180</v>
      </c>
      <c r="G94" s="157"/>
      <c r="I94" s="148"/>
      <c r="J94" s="148"/>
      <c r="K94" s="148"/>
      <c r="L94" s="148"/>
      <c r="M94" s="148"/>
    </row>
    <row r="95" spans="1:13">
      <c r="A95" s="148"/>
      <c r="B95" s="148"/>
      <c r="C95" s="148"/>
      <c r="D95" s="149"/>
      <c r="E95" s="3">
        <v>179</v>
      </c>
      <c r="G95" s="157"/>
      <c r="I95" s="148"/>
      <c r="J95" s="148"/>
      <c r="K95" s="148"/>
      <c r="L95" s="148"/>
      <c r="M95" s="148"/>
    </row>
    <row r="96" spans="1:13">
      <c r="A96" s="148"/>
      <c r="B96" s="148"/>
      <c r="C96" s="148"/>
      <c r="D96" s="149"/>
      <c r="E96" s="3">
        <v>178</v>
      </c>
      <c r="G96" s="157"/>
      <c r="I96" s="148"/>
      <c r="J96" s="148"/>
      <c r="K96" s="148"/>
      <c r="L96" s="148"/>
      <c r="M96" s="148"/>
    </row>
    <row r="97" spans="1:13">
      <c r="A97" s="148"/>
      <c r="B97" s="148"/>
      <c r="C97" s="148"/>
      <c r="D97" s="149"/>
      <c r="E97" s="3">
        <v>177</v>
      </c>
      <c r="G97" s="157"/>
      <c r="I97" s="148"/>
      <c r="J97" s="148"/>
      <c r="K97" s="148"/>
      <c r="L97" s="148"/>
      <c r="M97" s="148"/>
    </row>
    <row r="98" spans="1:13">
      <c r="A98" s="148"/>
      <c r="B98" s="148"/>
      <c r="C98" s="148"/>
      <c r="D98" s="149"/>
      <c r="E98" s="3">
        <v>176</v>
      </c>
      <c r="G98" s="157"/>
      <c r="I98" s="148"/>
      <c r="J98" s="148"/>
      <c r="K98" s="148"/>
      <c r="L98" s="148"/>
      <c r="M98" s="148"/>
    </row>
    <row r="99" spans="1:13">
      <c r="A99" s="148"/>
      <c r="B99" s="148"/>
      <c r="C99" s="148"/>
      <c r="D99" s="149"/>
      <c r="E99" s="3">
        <v>175</v>
      </c>
      <c r="G99" s="157"/>
      <c r="I99" s="148"/>
      <c r="J99" s="148"/>
      <c r="K99" s="148"/>
      <c r="L99" s="148"/>
      <c r="M99" s="148"/>
    </row>
    <row r="100" spans="1:13">
      <c r="A100" s="148"/>
      <c r="B100" s="148"/>
      <c r="C100" s="148"/>
      <c r="D100" s="149"/>
      <c r="E100" s="3">
        <v>174</v>
      </c>
      <c r="G100" s="157"/>
      <c r="I100" s="148"/>
      <c r="J100" s="148"/>
      <c r="K100" s="148"/>
      <c r="L100" s="148"/>
      <c r="M100" s="148"/>
    </row>
    <row r="101" spans="1:13">
      <c r="A101" s="148"/>
      <c r="B101" s="148"/>
      <c r="C101" s="148"/>
      <c r="D101" s="149"/>
      <c r="E101" s="3">
        <v>173</v>
      </c>
      <c r="G101" s="157"/>
      <c r="I101" s="148"/>
      <c r="J101" s="148"/>
      <c r="K101" s="148"/>
      <c r="L101" s="148"/>
      <c r="M101" s="148"/>
    </row>
    <row r="102" spans="1:13">
      <c r="A102" s="148"/>
      <c r="B102" s="148"/>
      <c r="C102" s="148"/>
      <c r="D102" s="149"/>
      <c r="E102" s="3">
        <v>172</v>
      </c>
      <c r="G102" s="157"/>
      <c r="I102" s="148"/>
      <c r="J102" s="148"/>
      <c r="K102" s="148"/>
      <c r="L102" s="148"/>
      <c r="M102" s="148"/>
    </row>
    <row r="103" spans="1:13">
      <c r="A103" s="148"/>
      <c r="B103" s="148"/>
      <c r="C103" s="148"/>
      <c r="D103" s="149"/>
      <c r="E103" s="3">
        <v>171</v>
      </c>
      <c r="G103" s="157"/>
      <c r="I103" s="148"/>
      <c r="J103" s="148"/>
      <c r="K103" s="148"/>
      <c r="L103" s="148"/>
      <c r="M103" s="148"/>
    </row>
    <row r="104" spans="1:13">
      <c r="A104" s="148"/>
      <c r="B104" s="148"/>
      <c r="C104" s="148"/>
      <c r="D104" s="149"/>
      <c r="E104" s="3">
        <v>170</v>
      </c>
      <c r="G104" s="157"/>
      <c r="I104" s="148"/>
      <c r="J104" s="148"/>
      <c r="K104" s="148"/>
      <c r="L104" s="148"/>
      <c r="M104" s="148"/>
    </row>
    <row r="105" spans="1:13">
      <c r="A105" s="148"/>
      <c r="B105" s="148"/>
      <c r="C105" s="148"/>
      <c r="D105" s="149"/>
      <c r="E105" s="3">
        <v>169</v>
      </c>
      <c r="G105" s="157"/>
      <c r="I105" s="148"/>
      <c r="J105" s="148"/>
      <c r="K105" s="148"/>
      <c r="L105" s="148"/>
      <c r="M105" s="148"/>
    </row>
    <row r="106" spans="1:13">
      <c r="A106" s="148"/>
      <c r="B106" s="148"/>
      <c r="C106" s="148"/>
      <c r="D106" s="149"/>
      <c r="E106" s="3">
        <v>168</v>
      </c>
      <c r="G106" s="157"/>
      <c r="I106" s="148"/>
      <c r="J106" s="148"/>
      <c r="K106" s="148"/>
      <c r="L106" s="148"/>
      <c r="M106" s="148"/>
    </row>
    <row r="107" spans="1:13">
      <c r="A107" s="148"/>
      <c r="B107" s="148"/>
      <c r="C107" s="148"/>
      <c r="D107" s="149"/>
      <c r="E107" s="3">
        <v>167</v>
      </c>
      <c r="G107" s="157"/>
      <c r="I107" s="148"/>
      <c r="J107" s="148"/>
      <c r="K107" s="148"/>
      <c r="L107" s="148"/>
      <c r="M107" s="148"/>
    </row>
    <row r="108" spans="1:13">
      <c r="A108" s="148"/>
      <c r="B108" s="148"/>
      <c r="C108" s="148"/>
      <c r="D108" s="149"/>
      <c r="E108" s="3">
        <v>166</v>
      </c>
      <c r="G108" s="157"/>
      <c r="I108" s="148"/>
      <c r="J108" s="148"/>
      <c r="K108" s="148"/>
      <c r="L108" s="148"/>
      <c r="M108" s="148"/>
    </row>
    <row r="109" spans="1:13">
      <c r="A109" s="148"/>
      <c r="B109" s="148"/>
      <c r="C109" s="148"/>
      <c r="D109" s="149"/>
      <c r="E109" s="3">
        <v>165</v>
      </c>
      <c r="G109" s="157"/>
      <c r="I109" s="148"/>
      <c r="J109" s="148"/>
      <c r="K109" s="148"/>
      <c r="L109" s="148"/>
      <c r="M109" s="148"/>
    </row>
    <row r="110" spans="1:13">
      <c r="A110" s="148"/>
      <c r="B110" s="148"/>
      <c r="C110" s="148"/>
      <c r="D110" s="149"/>
      <c r="E110" s="3">
        <v>164</v>
      </c>
      <c r="G110" s="157"/>
      <c r="I110" s="148"/>
      <c r="J110" s="148"/>
      <c r="K110" s="148"/>
      <c r="L110" s="148"/>
      <c r="M110" s="148"/>
    </row>
    <row r="111" spans="1:13">
      <c r="A111" s="148"/>
      <c r="B111" s="148"/>
      <c r="C111" s="148"/>
      <c r="D111" s="149"/>
      <c r="E111" s="3">
        <v>163</v>
      </c>
      <c r="G111" s="157"/>
      <c r="I111" s="148"/>
      <c r="J111" s="148"/>
      <c r="K111" s="148"/>
      <c r="L111" s="148"/>
      <c r="M111" s="148"/>
    </row>
    <row r="112" spans="1:13">
      <c r="A112" s="148"/>
      <c r="B112" s="148"/>
      <c r="C112" s="148"/>
      <c r="D112" s="149"/>
      <c r="E112" s="3">
        <v>162</v>
      </c>
      <c r="G112" s="157"/>
      <c r="I112" s="148"/>
      <c r="J112" s="148"/>
      <c r="K112" s="148"/>
      <c r="L112" s="148"/>
      <c r="M112" s="148"/>
    </row>
    <row r="113" spans="1:13">
      <c r="A113" s="148"/>
      <c r="B113" s="148"/>
      <c r="C113" s="148"/>
      <c r="D113" s="149"/>
      <c r="E113" s="3">
        <v>161</v>
      </c>
      <c r="G113" s="157"/>
      <c r="I113" s="148"/>
      <c r="J113" s="148"/>
      <c r="K113" s="148"/>
      <c r="L113" s="148"/>
      <c r="M113" s="148"/>
    </row>
    <row r="114" spans="1:13">
      <c r="A114" s="148"/>
      <c r="B114" s="148"/>
      <c r="C114" s="148"/>
      <c r="D114" s="149"/>
      <c r="E114" s="3">
        <v>160</v>
      </c>
      <c r="G114" s="157"/>
      <c r="I114" s="148"/>
      <c r="J114" s="148"/>
      <c r="K114" s="148"/>
      <c r="L114" s="148"/>
      <c r="M114" s="148"/>
    </row>
    <row r="115" spans="1:13">
      <c r="A115" s="148"/>
      <c r="B115" s="148"/>
      <c r="C115" s="148"/>
      <c r="D115" s="149"/>
      <c r="E115" s="3">
        <v>159</v>
      </c>
      <c r="G115" s="157"/>
      <c r="I115" s="148"/>
      <c r="J115" s="148"/>
      <c r="K115" s="148"/>
      <c r="L115" s="148"/>
      <c r="M115" s="148"/>
    </row>
    <row r="116" spans="1:13">
      <c r="A116" s="148"/>
      <c r="B116" s="148"/>
      <c r="C116" s="148"/>
      <c r="D116" s="149"/>
      <c r="E116" s="3">
        <v>158</v>
      </c>
      <c r="G116" s="157"/>
      <c r="I116" s="148"/>
      <c r="J116" s="148"/>
      <c r="K116" s="148"/>
      <c r="L116" s="148"/>
      <c r="M116" s="148"/>
    </row>
    <row r="117" spans="1:13">
      <c r="A117" s="148"/>
      <c r="B117" s="148"/>
      <c r="C117" s="148"/>
      <c r="D117" s="149"/>
      <c r="E117" s="3">
        <v>157</v>
      </c>
      <c r="G117" s="157"/>
      <c r="I117" s="148"/>
      <c r="J117" s="148"/>
      <c r="K117" s="148"/>
      <c r="L117" s="148"/>
      <c r="M117" s="148"/>
    </row>
    <row r="118" spans="1:13">
      <c r="A118" s="148"/>
      <c r="B118" s="148"/>
      <c r="C118" s="148"/>
      <c r="D118" s="149"/>
      <c r="E118" s="3">
        <v>156</v>
      </c>
      <c r="G118" s="157"/>
      <c r="I118" s="148"/>
      <c r="J118" s="148"/>
      <c r="K118" s="148"/>
      <c r="L118" s="148"/>
      <c r="M118" s="148"/>
    </row>
    <row r="119" spans="1:13">
      <c r="A119" s="148"/>
      <c r="B119" s="148"/>
      <c r="C119" s="148"/>
      <c r="D119" s="149"/>
      <c r="E119" s="3">
        <v>155</v>
      </c>
      <c r="G119" s="157"/>
      <c r="I119" s="148"/>
      <c r="J119" s="148"/>
      <c r="K119" s="148"/>
      <c r="L119" s="148"/>
      <c r="M119" s="148"/>
    </row>
    <row r="120" spans="1:13">
      <c r="A120" s="148"/>
      <c r="B120" s="148"/>
      <c r="C120" s="148"/>
      <c r="D120" s="149"/>
      <c r="E120" s="3">
        <v>154</v>
      </c>
      <c r="G120" s="157"/>
      <c r="I120" s="148"/>
      <c r="J120" s="148"/>
      <c r="K120" s="148"/>
      <c r="L120" s="148"/>
      <c r="M120" s="148"/>
    </row>
    <row r="121" spans="1:13">
      <c r="A121" s="148"/>
      <c r="B121" s="148"/>
      <c r="C121" s="148"/>
      <c r="D121" s="149"/>
      <c r="E121" s="3">
        <v>153</v>
      </c>
      <c r="G121" s="157"/>
      <c r="I121" s="148"/>
      <c r="J121" s="148"/>
      <c r="K121" s="148"/>
      <c r="L121" s="148"/>
      <c r="M121" s="148"/>
    </row>
    <row r="122" spans="1:13">
      <c r="A122" s="148"/>
      <c r="B122" s="148"/>
      <c r="C122" s="148"/>
      <c r="D122" s="149"/>
      <c r="E122" s="3">
        <v>152</v>
      </c>
      <c r="G122" s="157"/>
      <c r="I122" s="148"/>
      <c r="J122" s="148"/>
      <c r="K122" s="148"/>
      <c r="L122" s="148"/>
      <c r="M122" s="148"/>
    </row>
    <row r="123" spans="1:13">
      <c r="A123" s="148"/>
      <c r="B123" s="148"/>
      <c r="C123" s="148"/>
      <c r="D123" s="149"/>
      <c r="E123" s="3">
        <v>151</v>
      </c>
      <c r="G123" s="157"/>
      <c r="I123" s="148"/>
      <c r="J123" s="148"/>
      <c r="K123" s="148"/>
      <c r="L123" s="148"/>
      <c r="M123" s="148"/>
    </row>
    <row r="124" spans="1:13">
      <c r="A124" s="148"/>
      <c r="B124" s="148"/>
      <c r="C124" s="148"/>
      <c r="D124" s="149"/>
      <c r="E124" s="3">
        <v>150</v>
      </c>
      <c r="G124" s="157"/>
      <c r="I124" s="148"/>
      <c r="J124" s="148"/>
      <c r="K124" s="148"/>
      <c r="L124" s="148"/>
      <c r="M124" s="148"/>
    </row>
    <row r="125" spans="1:13">
      <c r="A125" s="148"/>
      <c r="B125" s="148"/>
      <c r="C125" s="148"/>
      <c r="D125" s="149"/>
      <c r="E125" s="3">
        <v>149</v>
      </c>
      <c r="G125" s="157"/>
      <c r="I125" s="148"/>
      <c r="J125" s="148"/>
      <c r="K125" s="148"/>
      <c r="L125" s="148"/>
      <c r="M125" s="148"/>
    </row>
    <row r="126" spans="1:13">
      <c r="A126" s="148"/>
      <c r="B126" s="148"/>
      <c r="C126" s="148"/>
      <c r="D126" s="149"/>
      <c r="E126" s="3">
        <v>148</v>
      </c>
      <c r="G126" s="157"/>
      <c r="I126" s="148"/>
      <c r="J126" s="148"/>
      <c r="K126" s="148"/>
      <c r="L126" s="148"/>
      <c r="M126" s="148"/>
    </row>
    <row r="127" spans="1:13">
      <c r="A127" s="148"/>
      <c r="B127" s="148"/>
      <c r="C127" s="148"/>
      <c r="D127" s="149"/>
      <c r="E127" s="3">
        <v>147</v>
      </c>
      <c r="G127" s="157"/>
      <c r="I127" s="148"/>
      <c r="J127" s="148"/>
      <c r="K127" s="148"/>
      <c r="L127" s="148"/>
      <c r="M127" s="148"/>
    </row>
    <row r="128" spans="1:13">
      <c r="A128" s="148"/>
      <c r="B128" s="148"/>
      <c r="C128" s="148"/>
      <c r="D128" s="149"/>
      <c r="E128" s="3">
        <v>146</v>
      </c>
      <c r="G128" s="157"/>
      <c r="I128" s="148"/>
      <c r="J128" s="148"/>
      <c r="K128" s="148"/>
      <c r="L128" s="148"/>
      <c r="M128" s="148"/>
    </row>
    <row r="129" spans="1:13">
      <c r="A129" s="148"/>
      <c r="B129" s="148"/>
      <c r="C129" s="148"/>
      <c r="D129" s="149"/>
      <c r="E129" s="3">
        <v>145</v>
      </c>
      <c r="G129" s="157"/>
      <c r="I129" s="148"/>
      <c r="J129" s="148"/>
      <c r="K129" s="148"/>
      <c r="L129" s="148"/>
      <c r="M129" s="148"/>
    </row>
    <row r="130" spans="1:13">
      <c r="A130" s="148"/>
      <c r="B130" s="148"/>
      <c r="C130" s="148"/>
      <c r="D130" s="149"/>
      <c r="E130" s="3">
        <v>144</v>
      </c>
      <c r="G130" s="157"/>
      <c r="I130" s="148"/>
      <c r="J130" s="148"/>
      <c r="K130" s="148"/>
      <c r="L130" s="148"/>
      <c r="M130" s="148"/>
    </row>
    <row r="131" spans="1:13">
      <c r="A131" s="148"/>
      <c r="B131" s="148"/>
      <c r="C131" s="148"/>
      <c r="D131" s="149"/>
      <c r="E131" s="3">
        <v>143</v>
      </c>
      <c r="G131" s="157"/>
      <c r="I131" s="148"/>
      <c r="J131" s="148"/>
      <c r="K131" s="148"/>
      <c r="L131" s="148"/>
      <c r="M131" s="148"/>
    </row>
    <row r="132" spans="1:13">
      <c r="A132" s="148"/>
      <c r="B132" s="148"/>
      <c r="C132" s="148"/>
      <c r="D132" s="149"/>
      <c r="E132" s="3">
        <v>142</v>
      </c>
      <c r="G132" s="157"/>
      <c r="I132" s="148"/>
      <c r="J132" s="148"/>
      <c r="K132" s="148"/>
      <c r="L132" s="148"/>
      <c r="M132" s="148"/>
    </row>
    <row r="133" spans="1:13">
      <c r="A133" s="148"/>
      <c r="B133" s="148"/>
      <c r="C133" s="148"/>
      <c r="D133" s="149"/>
      <c r="E133" s="3">
        <v>141</v>
      </c>
      <c r="G133" s="157"/>
      <c r="I133" s="148"/>
      <c r="J133" s="148"/>
      <c r="K133" s="148"/>
      <c r="L133" s="148"/>
      <c r="M133" s="148"/>
    </row>
    <row r="134" spans="1:13">
      <c r="A134" s="148"/>
      <c r="B134" s="148"/>
      <c r="C134" s="148"/>
      <c r="D134" s="149"/>
      <c r="E134" s="3">
        <v>140</v>
      </c>
      <c r="G134" s="157"/>
      <c r="I134" s="148"/>
      <c r="J134" s="148"/>
      <c r="K134" s="148"/>
      <c r="L134" s="148"/>
      <c r="M134" s="148"/>
    </row>
    <row r="135" spans="1:13">
      <c r="A135" s="148"/>
      <c r="B135" s="148"/>
      <c r="C135" s="148"/>
      <c r="D135" s="149"/>
      <c r="E135" s="3">
        <v>139</v>
      </c>
      <c r="G135" s="157"/>
      <c r="I135" s="148"/>
      <c r="J135" s="148"/>
      <c r="K135" s="148"/>
      <c r="L135" s="148"/>
      <c r="M135" s="148"/>
    </row>
    <row r="136" spans="1:13">
      <c r="A136" s="148"/>
      <c r="B136" s="148"/>
      <c r="C136" s="148"/>
      <c r="D136" s="149"/>
      <c r="E136" s="3">
        <v>138</v>
      </c>
      <c r="G136" s="157"/>
      <c r="I136" s="148"/>
      <c r="J136" s="148"/>
      <c r="K136" s="148"/>
      <c r="L136" s="148"/>
      <c r="M136" s="148"/>
    </row>
    <row r="137" spans="1:13">
      <c r="A137" s="148"/>
      <c r="B137" s="148"/>
      <c r="C137" s="148"/>
      <c r="D137" s="149"/>
      <c r="E137" s="3">
        <v>137</v>
      </c>
      <c r="G137" s="157"/>
      <c r="I137" s="148"/>
      <c r="J137" s="148"/>
      <c r="K137" s="148"/>
      <c r="L137" s="148"/>
      <c r="M137" s="148"/>
    </row>
    <row r="138" spans="1:13">
      <c r="A138" s="148"/>
      <c r="B138" s="148"/>
      <c r="C138" s="148"/>
      <c r="D138" s="149"/>
      <c r="E138" s="3">
        <v>136</v>
      </c>
      <c r="G138" s="157"/>
      <c r="I138" s="148"/>
      <c r="J138" s="148"/>
      <c r="K138" s="148"/>
      <c r="L138" s="148"/>
      <c r="M138" s="148"/>
    </row>
    <row r="139" spans="1:13">
      <c r="A139" s="148"/>
      <c r="B139" s="148"/>
      <c r="C139" s="148"/>
      <c r="D139" s="149"/>
      <c r="E139" s="3">
        <v>135</v>
      </c>
      <c r="G139" s="157"/>
      <c r="I139" s="148"/>
      <c r="J139" s="148"/>
      <c r="K139" s="148"/>
      <c r="L139" s="148"/>
      <c r="M139" s="148"/>
    </row>
    <row r="140" spans="1:13">
      <c r="A140" s="148"/>
      <c r="B140" s="148"/>
      <c r="C140" s="148"/>
      <c r="D140" s="149"/>
      <c r="E140" s="3">
        <v>134</v>
      </c>
      <c r="G140" s="157"/>
      <c r="I140" s="148"/>
      <c r="J140" s="148"/>
      <c r="K140" s="148"/>
      <c r="L140" s="148"/>
      <c r="M140" s="148"/>
    </row>
    <row r="141" spans="1:13">
      <c r="A141" s="148"/>
      <c r="B141" s="148"/>
      <c r="C141" s="148"/>
      <c r="D141" s="149"/>
      <c r="E141" s="3">
        <v>133</v>
      </c>
      <c r="G141" s="157"/>
      <c r="I141" s="148"/>
      <c r="J141" s="148"/>
      <c r="K141" s="148"/>
      <c r="L141" s="148"/>
      <c r="M141" s="148"/>
    </row>
    <row r="142" spans="1:13">
      <c r="A142" s="148"/>
      <c r="B142" s="148"/>
      <c r="C142" s="148"/>
      <c r="D142" s="149"/>
      <c r="E142" s="3">
        <v>132</v>
      </c>
      <c r="G142" s="157"/>
      <c r="I142" s="148"/>
      <c r="J142" s="148"/>
      <c r="K142" s="148"/>
      <c r="L142" s="148"/>
      <c r="M142" s="148"/>
    </row>
    <row r="143" spans="1:13">
      <c r="A143" s="148"/>
      <c r="B143" s="148"/>
      <c r="C143" s="148"/>
      <c r="D143" s="149"/>
      <c r="E143" s="3">
        <v>131</v>
      </c>
      <c r="G143" s="157"/>
      <c r="I143" s="148"/>
      <c r="J143" s="148"/>
      <c r="K143" s="148"/>
      <c r="L143" s="148"/>
      <c r="M143" s="148"/>
    </row>
    <row r="144" spans="1:13">
      <c r="A144" s="148"/>
      <c r="B144" s="148"/>
      <c r="C144" s="148"/>
      <c r="D144" s="149"/>
      <c r="E144" s="3">
        <v>130</v>
      </c>
      <c r="G144" s="157"/>
      <c r="I144" s="148"/>
      <c r="J144" s="148"/>
      <c r="K144" s="148"/>
      <c r="L144" s="148"/>
      <c r="M144" s="148"/>
    </row>
    <row r="145" spans="1:13">
      <c r="A145" s="148"/>
      <c r="B145" s="148"/>
      <c r="C145" s="148"/>
      <c r="D145" s="149"/>
      <c r="E145" s="3">
        <v>129</v>
      </c>
      <c r="G145" s="157"/>
      <c r="I145" s="148"/>
      <c r="J145" s="148"/>
      <c r="K145" s="148"/>
      <c r="L145" s="148"/>
      <c r="M145" s="148"/>
    </row>
    <row r="146" spans="1:13">
      <c r="A146" s="148"/>
      <c r="B146" s="148"/>
      <c r="C146" s="148"/>
      <c r="D146" s="149"/>
      <c r="E146" s="3">
        <v>128</v>
      </c>
      <c r="G146" s="157"/>
      <c r="I146" s="148"/>
      <c r="J146" s="148"/>
      <c r="K146" s="148"/>
      <c r="L146" s="148"/>
      <c r="M146" s="148"/>
    </row>
    <row r="147" spans="1:13">
      <c r="A147" s="148"/>
      <c r="B147" s="148"/>
      <c r="C147" s="148"/>
      <c r="D147" s="149"/>
      <c r="E147" s="3">
        <v>127</v>
      </c>
      <c r="G147" s="157"/>
      <c r="I147" s="148"/>
      <c r="J147" s="148"/>
      <c r="K147" s="148"/>
      <c r="L147" s="148"/>
      <c r="M147" s="148"/>
    </row>
    <row r="148" spans="1:13">
      <c r="A148" s="148"/>
      <c r="B148" s="148"/>
      <c r="C148" s="148"/>
      <c r="D148" s="149"/>
      <c r="E148" s="3">
        <v>126</v>
      </c>
      <c r="G148" s="157"/>
      <c r="I148" s="148"/>
      <c r="J148" s="148"/>
      <c r="K148" s="148"/>
      <c r="L148" s="148"/>
      <c r="M148" s="148"/>
    </row>
    <row r="149" spans="1:13">
      <c r="A149" s="148"/>
      <c r="B149" s="148"/>
      <c r="C149" s="148"/>
      <c r="D149" s="149"/>
      <c r="E149" s="3">
        <v>125</v>
      </c>
      <c r="G149" s="157"/>
      <c r="I149" s="148"/>
      <c r="J149" s="148"/>
      <c r="K149" s="148"/>
      <c r="L149" s="148"/>
      <c r="M149" s="148"/>
    </row>
    <row r="150" spans="1:13">
      <c r="A150" s="148"/>
      <c r="B150" s="148"/>
      <c r="C150" s="148"/>
      <c r="D150" s="149"/>
      <c r="E150" s="3">
        <v>124</v>
      </c>
      <c r="G150" s="157"/>
      <c r="I150" s="148"/>
      <c r="J150" s="148"/>
      <c r="K150" s="148"/>
      <c r="L150" s="148"/>
      <c r="M150" s="148"/>
    </row>
    <row r="151" spans="1:13">
      <c r="A151" s="148"/>
      <c r="B151" s="148"/>
      <c r="C151" s="148"/>
      <c r="D151" s="149"/>
      <c r="E151" s="3">
        <v>123</v>
      </c>
      <c r="G151" s="157"/>
      <c r="I151" s="148"/>
      <c r="J151" s="148"/>
      <c r="K151" s="148"/>
      <c r="L151" s="148"/>
      <c r="M151" s="148"/>
    </row>
    <row r="152" spans="1:13">
      <c r="A152" s="148"/>
      <c r="B152" s="148"/>
      <c r="C152" s="148"/>
      <c r="D152" s="149"/>
      <c r="E152" s="3">
        <v>122</v>
      </c>
      <c r="G152" s="157"/>
      <c r="I152" s="148"/>
      <c r="J152" s="148"/>
      <c r="K152" s="148"/>
      <c r="L152" s="148"/>
      <c r="M152" s="148"/>
    </row>
    <row r="153" spans="1:13">
      <c r="A153" s="148"/>
      <c r="B153" s="148"/>
      <c r="C153" s="148"/>
      <c r="D153" s="149"/>
      <c r="E153" s="3">
        <v>121</v>
      </c>
      <c r="G153" s="157"/>
      <c r="I153" s="148"/>
      <c r="J153" s="148"/>
      <c r="K153" s="148"/>
      <c r="L153" s="148"/>
      <c r="M153" s="148"/>
    </row>
    <row r="154" spans="1:13">
      <c r="A154" s="148"/>
      <c r="B154" s="148"/>
      <c r="C154" s="148"/>
      <c r="D154" s="149"/>
      <c r="E154" s="3">
        <v>120</v>
      </c>
      <c r="G154" s="157"/>
      <c r="I154" s="148"/>
      <c r="J154" s="148"/>
      <c r="K154" s="148"/>
      <c r="L154" s="148"/>
      <c r="M154" s="148"/>
    </row>
    <row r="155" spans="1:13">
      <c r="A155" s="148"/>
      <c r="B155" s="148"/>
      <c r="C155" s="148"/>
      <c r="D155" s="149"/>
      <c r="E155" s="3">
        <v>119</v>
      </c>
      <c r="G155" s="157"/>
      <c r="I155" s="148"/>
      <c r="J155" s="148"/>
      <c r="K155" s="148"/>
      <c r="L155" s="148"/>
      <c r="M155" s="148"/>
    </row>
    <row r="156" spans="1:13">
      <c r="A156" s="148"/>
      <c r="B156" s="148"/>
      <c r="C156" s="148"/>
      <c r="D156" s="149"/>
      <c r="E156" s="3">
        <v>118</v>
      </c>
      <c r="G156" s="157"/>
      <c r="I156" s="148"/>
      <c r="J156" s="148"/>
      <c r="K156" s="148"/>
      <c r="L156" s="148"/>
      <c r="M156" s="148"/>
    </row>
    <row r="157" spans="1:13">
      <c r="A157" s="148"/>
      <c r="B157" s="148"/>
      <c r="C157" s="148"/>
      <c r="D157" s="149"/>
      <c r="E157" s="3">
        <v>117</v>
      </c>
      <c r="G157" s="157"/>
      <c r="I157" s="148"/>
      <c r="J157" s="148"/>
      <c r="K157" s="148"/>
      <c r="L157" s="148"/>
      <c r="M157" s="148"/>
    </row>
    <row r="158" spans="1:13">
      <c r="A158" s="148"/>
      <c r="B158" s="148"/>
      <c r="C158" s="148"/>
      <c r="D158" s="149"/>
      <c r="E158" s="3">
        <v>116</v>
      </c>
      <c r="G158" s="157"/>
      <c r="I158" s="148"/>
      <c r="J158" s="148"/>
      <c r="K158" s="148"/>
      <c r="L158" s="148"/>
      <c r="M158" s="148"/>
    </row>
    <row r="159" spans="1:13">
      <c r="A159" s="148"/>
      <c r="B159" s="148"/>
      <c r="C159" s="148"/>
      <c r="D159" s="149"/>
      <c r="E159" s="3">
        <v>115</v>
      </c>
      <c r="G159" s="157"/>
      <c r="I159" s="148"/>
      <c r="J159" s="148"/>
      <c r="K159" s="148"/>
      <c r="L159" s="148"/>
      <c r="M159" s="148"/>
    </row>
    <row r="160" spans="1:13">
      <c r="A160" s="148"/>
      <c r="B160" s="148"/>
      <c r="C160" s="148"/>
      <c r="D160" s="149"/>
      <c r="E160" s="3">
        <v>114</v>
      </c>
      <c r="G160" s="157"/>
      <c r="I160" s="148"/>
      <c r="J160" s="148"/>
      <c r="K160" s="148"/>
      <c r="L160" s="148"/>
      <c r="M160" s="148"/>
    </row>
    <row r="161" spans="1:13">
      <c r="A161" s="148"/>
      <c r="B161" s="148"/>
      <c r="C161" s="148"/>
      <c r="D161" s="149"/>
      <c r="E161" s="3">
        <v>113</v>
      </c>
      <c r="G161" s="157"/>
      <c r="I161" s="148"/>
      <c r="J161" s="148"/>
      <c r="K161" s="148"/>
      <c r="L161" s="148"/>
      <c r="M161" s="148"/>
    </row>
    <row r="162" spans="1:13">
      <c r="A162" s="148"/>
      <c r="B162" s="148"/>
      <c r="C162" s="148"/>
      <c r="D162" s="149"/>
      <c r="E162" s="3">
        <v>112</v>
      </c>
      <c r="G162" s="157"/>
      <c r="I162" s="148"/>
      <c r="J162" s="148"/>
      <c r="K162" s="148"/>
      <c r="L162" s="148"/>
      <c r="M162" s="148"/>
    </row>
    <row r="163" spans="1:13">
      <c r="A163" s="148"/>
      <c r="B163" s="148"/>
      <c r="C163" s="148"/>
      <c r="D163" s="149"/>
      <c r="E163" s="3">
        <v>111</v>
      </c>
      <c r="G163" s="157"/>
      <c r="I163" s="148"/>
      <c r="J163" s="148"/>
      <c r="K163" s="148"/>
      <c r="L163" s="148"/>
      <c r="M163" s="148"/>
    </row>
    <row r="164" spans="1:13">
      <c r="A164" s="148"/>
      <c r="B164" s="148"/>
      <c r="C164" s="148"/>
      <c r="D164" s="149"/>
      <c r="E164" s="3">
        <v>110</v>
      </c>
      <c r="G164" s="157"/>
      <c r="I164" s="148"/>
      <c r="J164" s="148"/>
      <c r="K164" s="148"/>
      <c r="L164" s="148"/>
      <c r="M164" s="148"/>
    </row>
    <row r="165" spans="1:13">
      <c r="A165" s="148"/>
      <c r="B165" s="148"/>
      <c r="C165" s="148"/>
      <c r="D165" s="149"/>
      <c r="E165" s="3">
        <v>109</v>
      </c>
      <c r="G165" s="157"/>
      <c r="I165" s="148"/>
      <c r="J165" s="148"/>
      <c r="K165" s="148"/>
      <c r="L165" s="148"/>
      <c r="M165" s="148"/>
    </row>
    <row r="166" spans="1:13">
      <c r="A166" s="148"/>
      <c r="B166" s="148"/>
      <c r="C166" s="148"/>
      <c r="D166" s="149"/>
      <c r="E166" s="3">
        <v>108</v>
      </c>
      <c r="G166" s="157"/>
      <c r="I166" s="148"/>
      <c r="J166" s="148"/>
      <c r="K166" s="148"/>
      <c r="L166" s="148"/>
      <c r="M166" s="148"/>
    </row>
    <row r="167" spans="1:13">
      <c r="A167" s="148"/>
      <c r="B167" s="148"/>
      <c r="C167" s="148"/>
      <c r="D167" s="149"/>
      <c r="E167" s="3">
        <v>107</v>
      </c>
      <c r="G167" s="157"/>
      <c r="I167" s="148"/>
      <c r="J167" s="148"/>
      <c r="K167" s="148"/>
      <c r="L167" s="148"/>
      <c r="M167" s="148"/>
    </row>
    <row r="168" spans="1:13">
      <c r="A168" s="148"/>
      <c r="B168" s="148"/>
      <c r="C168" s="148"/>
      <c r="D168" s="149"/>
      <c r="E168" s="3">
        <v>106</v>
      </c>
      <c r="G168" s="157"/>
      <c r="I168" s="148"/>
      <c r="J168" s="148"/>
      <c r="K168" s="148"/>
      <c r="L168" s="148"/>
      <c r="M168" s="148"/>
    </row>
    <row r="169" spans="1:13">
      <c r="A169" s="148"/>
      <c r="B169" s="148"/>
      <c r="C169" s="148"/>
      <c r="D169" s="149"/>
      <c r="E169" s="3">
        <v>105</v>
      </c>
      <c r="G169" s="157"/>
      <c r="I169" s="148"/>
      <c r="J169" s="148"/>
      <c r="K169" s="148"/>
      <c r="L169" s="148"/>
      <c r="M169" s="148"/>
    </row>
    <row r="170" spans="1:13">
      <c r="A170" s="148"/>
      <c r="B170" s="148"/>
      <c r="C170" s="148"/>
      <c r="D170" s="149"/>
      <c r="E170" s="3">
        <v>104</v>
      </c>
      <c r="G170" s="157"/>
      <c r="I170" s="148"/>
      <c r="J170" s="148"/>
      <c r="K170" s="148"/>
      <c r="L170" s="148"/>
      <c r="M170" s="148"/>
    </row>
    <row r="171" spans="1:13">
      <c r="A171" s="148"/>
      <c r="B171" s="148"/>
      <c r="C171" s="148"/>
      <c r="D171" s="149"/>
      <c r="E171" s="3">
        <v>103</v>
      </c>
      <c r="G171" s="157"/>
      <c r="I171" s="148"/>
      <c r="J171" s="148"/>
      <c r="K171" s="148"/>
      <c r="L171" s="148"/>
      <c r="M171" s="148"/>
    </row>
    <row r="172" spans="1:13">
      <c r="A172" s="148"/>
      <c r="B172" s="148"/>
      <c r="C172" s="148"/>
      <c r="D172" s="149"/>
      <c r="E172" s="3">
        <v>102</v>
      </c>
      <c r="G172" s="157"/>
      <c r="I172" s="148"/>
      <c r="J172" s="148"/>
      <c r="K172" s="148"/>
      <c r="L172" s="148"/>
      <c r="M172" s="148"/>
    </row>
    <row r="173" spans="1:13">
      <c r="A173" s="148"/>
      <c r="B173" s="148"/>
      <c r="C173" s="148"/>
      <c r="D173" s="149"/>
      <c r="E173" s="3">
        <v>101</v>
      </c>
      <c r="G173" s="157"/>
      <c r="I173" s="148"/>
      <c r="J173" s="148"/>
      <c r="K173" s="148"/>
      <c r="L173" s="148"/>
      <c r="M173" s="148"/>
    </row>
    <row r="174" spans="1:13">
      <c r="A174" s="148"/>
      <c r="B174" s="148"/>
      <c r="C174" s="148"/>
      <c r="D174" s="149"/>
      <c r="E174" s="3">
        <v>100</v>
      </c>
      <c r="G174" s="157"/>
      <c r="I174" s="148"/>
      <c r="J174" s="148"/>
      <c r="K174" s="148"/>
      <c r="L174" s="148"/>
      <c r="M174" s="148"/>
    </row>
    <row r="175" spans="1:13">
      <c r="A175" s="148"/>
      <c r="B175" s="148"/>
      <c r="C175" s="148"/>
      <c r="D175" s="149"/>
      <c r="E175" s="3">
        <v>99</v>
      </c>
      <c r="G175" s="157"/>
      <c r="I175" s="148"/>
      <c r="J175" s="148"/>
      <c r="K175" s="148"/>
      <c r="L175" s="148"/>
      <c r="M175" s="148"/>
    </row>
    <row r="176" spans="1:13">
      <c r="A176" s="148"/>
      <c r="B176" s="148"/>
      <c r="C176" s="148"/>
      <c r="D176" s="149"/>
      <c r="E176" s="3">
        <v>98</v>
      </c>
      <c r="G176" s="157"/>
      <c r="I176" s="148"/>
      <c r="J176" s="148"/>
      <c r="K176" s="148"/>
      <c r="L176" s="148"/>
      <c r="M176" s="148"/>
    </row>
    <row r="177" spans="1:13">
      <c r="A177" s="148"/>
      <c r="B177" s="148"/>
      <c r="C177" s="148"/>
      <c r="D177" s="149"/>
      <c r="E177" s="3">
        <v>97</v>
      </c>
      <c r="G177" s="157"/>
      <c r="I177" s="148"/>
      <c r="J177" s="148"/>
      <c r="K177" s="148"/>
      <c r="L177" s="148"/>
      <c r="M177" s="148"/>
    </row>
    <row r="178" spans="1:13">
      <c r="A178" s="148"/>
      <c r="B178" s="148"/>
      <c r="C178" s="148"/>
      <c r="D178" s="149"/>
      <c r="E178" s="3">
        <v>96</v>
      </c>
      <c r="G178" s="157"/>
      <c r="I178" s="148"/>
      <c r="J178" s="148"/>
      <c r="K178" s="148"/>
      <c r="L178" s="148"/>
      <c r="M178" s="148"/>
    </row>
    <row r="179" spans="1:13">
      <c r="A179" s="148"/>
      <c r="B179" s="148"/>
      <c r="C179" s="148"/>
      <c r="D179" s="149"/>
      <c r="E179" s="3">
        <v>95</v>
      </c>
      <c r="G179" s="157"/>
      <c r="I179" s="148"/>
      <c r="J179" s="148"/>
      <c r="K179" s="148"/>
      <c r="L179" s="148"/>
      <c r="M179" s="148"/>
    </row>
    <row r="180" spans="1:13">
      <c r="A180" s="148"/>
      <c r="B180" s="148"/>
      <c r="C180" s="148"/>
      <c r="D180" s="149"/>
      <c r="E180" s="3">
        <v>94</v>
      </c>
      <c r="G180" s="157"/>
      <c r="I180" s="148"/>
      <c r="J180" s="148"/>
      <c r="K180" s="148"/>
      <c r="L180" s="148"/>
      <c r="M180" s="148"/>
    </row>
    <row r="181" spans="1:13">
      <c r="A181" s="148"/>
      <c r="B181" s="148"/>
      <c r="C181" s="148"/>
      <c r="D181" s="149"/>
      <c r="E181" s="3">
        <v>93</v>
      </c>
      <c r="G181" s="157"/>
      <c r="I181" s="148"/>
      <c r="J181" s="148"/>
      <c r="K181" s="148"/>
      <c r="L181" s="148"/>
      <c r="M181" s="148"/>
    </row>
    <row r="182" spans="1:13">
      <c r="A182" s="148"/>
      <c r="B182" s="148"/>
      <c r="C182" s="148"/>
      <c r="D182" s="149"/>
      <c r="E182" s="3">
        <v>92</v>
      </c>
      <c r="G182" s="157"/>
      <c r="I182" s="148"/>
      <c r="J182" s="148"/>
      <c r="K182" s="148"/>
      <c r="L182" s="148"/>
      <c r="M182" s="148"/>
    </row>
    <row r="183" spans="1:13">
      <c r="A183" s="148"/>
      <c r="B183" s="148"/>
      <c r="C183" s="148"/>
      <c r="D183" s="149"/>
      <c r="E183" s="3">
        <v>91</v>
      </c>
      <c r="G183" s="157"/>
      <c r="I183" s="148"/>
      <c r="J183" s="148"/>
      <c r="K183" s="148"/>
      <c r="L183" s="148"/>
      <c r="M183" s="148"/>
    </row>
    <row r="184" spans="1:13">
      <c r="A184" s="148"/>
      <c r="B184" s="148"/>
      <c r="C184" s="148"/>
      <c r="D184" s="149"/>
      <c r="E184" s="3">
        <v>90</v>
      </c>
      <c r="G184" s="157"/>
      <c r="I184" s="148"/>
      <c r="J184" s="148"/>
      <c r="K184" s="148"/>
      <c r="L184" s="148"/>
      <c r="M184" s="148"/>
    </row>
    <row r="185" spans="1:13">
      <c r="A185" s="148"/>
      <c r="B185" s="148"/>
      <c r="C185" s="148"/>
      <c r="D185" s="149"/>
      <c r="E185" s="3">
        <v>89</v>
      </c>
      <c r="G185" s="157"/>
      <c r="I185" s="148"/>
      <c r="J185" s="148"/>
      <c r="K185" s="148"/>
      <c r="L185" s="148"/>
      <c r="M185" s="148"/>
    </row>
    <row r="186" spans="1:13">
      <c r="A186" s="148"/>
      <c r="B186" s="148"/>
      <c r="C186" s="148"/>
      <c r="D186" s="149"/>
      <c r="E186" s="3">
        <v>88</v>
      </c>
      <c r="G186" s="157"/>
      <c r="I186" s="148"/>
      <c r="J186" s="148"/>
      <c r="K186" s="148"/>
      <c r="L186" s="148"/>
      <c r="M186" s="148"/>
    </row>
    <row r="187" spans="1:13">
      <c r="A187" s="148"/>
      <c r="B187" s="148"/>
      <c r="C187" s="148"/>
      <c r="D187" s="149"/>
      <c r="E187" s="3">
        <v>87</v>
      </c>
      <c r="G187" s="157"/>
      <c r="I187" s="148"/>
      <c r="J187" s="148"/>
      <c r="K187" s="148"/>
      <c r="L187" s="148"/>
      <c r="M187" s="148"/>
    </row>
    <row r="188" spans="1:13">
      <c r="A188" s="148"/>
      <c r="B188" s="148"/>
      <c r="C188" s="148"/>
      <c r="D188" s="149"/>
      <c r="E188" s="3">
        <v>86</v>
      </c>
      <c r="G188" s="157"/>
      <c r="I188" s="148"/>
      <c r="J188" s="148"/>
      <c r="K188" s="148"/>
      <c r="L188" s="148"/>
      <c r="M188" s="148"/>
    </row>
    <row r="189" spans="1:13">
      <c r="A189" s="148"/>
      <c r="B189" s="148"/>
      <c r="C189" s="148"/>
      <c r="D189" s="149"/>
      <c r="E189" s="3">
        <v>85</v>
      </c>
      <c r="G189" s="157"/>
      <c r="I189" s="148"/>
      <c r="J189" s="148"/>
      <c r="K189" s="148"/>
      <c r="L189" s="148"/>
      <c r="M189" s="148"/>
    </row>
    <row r="190" spans="1:13">
      <c r="A190" s="148"/>
      <c r="B190" s="148"/>
      <c r="C190" s="148"/>
      <c r="D190" s="149"/>
      <c r="E190" s="3">
        <v>84</v>
      </c>
      <c r="G190" s="157"/>
      <c r="I190" s="148"/>
      <c r="J190" s="148"/>
      <c r="K190" s="148"/>
      <c r="L190" s="148"/>
      <c r="M190" s="148"/>
    </row>
    <row r="191" spans="1:13">
      <c r="A191" s="148"/>
      <c r="B191" s="148"/>
      <c r="C191" s="148"/>
      <c r="D191" s="149"/>
      <c r="E191" s="3">
        <v>83</v>
      </c>
      <c r="G191" s="157"/>
      <c r="I191" s="148"/>
      <c r="J191" s="148"/>
      <c r="K191" s="148"/>
      <c r="L191" s="148"/>
      <c r="M191" s="148"/>
    </row>
    <row r="192" spans="1:13">
      <c r="A192" s="148"/>
      <c r="B192" s="148"/>
      <c r="C192" s="148"/>
      <c r="D192" s="149"/>
      <c r="E192" s="3">
        <v>82</v>
      </c>
      <c r="G192" s="157"/>
      <c r="I192" s="148"/>
      <c r="J192" s="148"/>
      <c r="K192" s="148"/>
      <c r="L192" s="148"/>
      <c r="M192" s="148"/>
    </row>
    <row r="193" spans="1:13">
      <c r="A193" s="148"/>
      <c r="B193" s="148"/>
      <c r="C193" s="148"/>
      <c r="D193" s="149"/>
      <c r="E193" s="3">
        <v>81</v>
      </c>
      <c r="G193" s="157"/>
      <c r="I193" s="148"/>
      <c r="J193" s="148"/>
      <c r="K193" s="148"/>
      <c r="L193" s="148"/>
      <c r="M193" s="148"/>
    </row>
    <row r="194" spans="1:13">
      <c r="A194" s="148"/>
      <c r="B194" s="148"/>
      <c r="C194" s="148"/>
      <c r="D194" s="149"/>
      <c r="E194" s="3">
        <v>80</v>
      </c>
      <c r="G194" s="157"/>
      <c r="I194" s="148"/>
      <c r="J194" s="148"/>
      <c r="K194" s="148"/>
      <c r="L194" s="148"/>
      <c r="M194" s="148"/>
    </row>
    <row r="195" spans="1:13">
      <c r="A195" s="148"/>
      <c r="B195" s="148"/>
      <c r="C195" s="148"/>
      <c r="D195" s="149"/>
      <c r="E195" s="3">
        <v>79</v>
      </c>
      <c r="G195" s="157"/>
      <c r="I195" s="148"/>
      <c r="J195" s="148"/>
      <c r="K195" s="148"/>
      <c r="L195" s="148"/>
      <c r="M195" s="148"/>
    </row>
    <row r="196" spans="1:13">
      <c r="A196" s="148"/>
      <c r="B196" s="148"/>
      <c r="C196" s="148"/>
      <c r="D196" s="149"/>
      <c r="E196" s="3">
        <v>78</v>
      </c>
      <c r="G196" s="157"/>
      <c r="I196" s="148"/>
      <c r="J196" s="148"/>
      <c r="K196" s="148"/>
      <c r="L196" s="148"/>
      <c r="M196" s="148"/>
    </row>
    <row r="197" spans="1:13">
      <c r="A197" s="148"/>
      <c r="B197" s="148"/>
      <c r="C197" s="148"/>
      <c r="D197" s="149"/>
      <c r="E197" s="3">
        <v>77</v>
      </c>
      <c r="G197" s="157"/>
      <c r="I197" s="148"/>
      <c r="J197" s="148"/>
      <c r="K197" s="148"/>
      <c r="L197" s="148"/>
      <c r="M197" s="148"/>
    </row>
    <row r="198" spans="1:13">
      <c r="A198" s="148"/>
      <c r="B198" s="148"/>
      <c r="C198" s="148"/>
      <c r="D198" s="149"/>
      <c r="E198" s="3">
        <v>76</v>
      </c>
      <c r="G198" s="157"/>
      <c r="I198" s="148"/>
      <c r="J198" s="148"/>
      <c r="K198" s="148"/>
      <c r="L198" s="148"/>
      <c r="M198" s="148"/>
    </row>
    <row r="199" spans="1:13">
      <c r="A199" s="148"/>
      <c r="B199" s="148"/>
      <c r="C199" s="148"/>
      <c r="D199" s="149"/>
      <c r="E199" s="3">
        <v>75</v>
      </c>
      <c r="G199" s="157"/>
      <c r="I199" s="148"/>
      <c r="J199" s="148"/>
      <c r="K199" s="148"/>
      <c r="L199" s="148"/>
      <c r="M199" s="148"/>
    </row>
    <row r="200" spans="1:13">
      <c r="A200" s="148"/>
      <c r="B200" s="148"/>
      <c r="C200" s="148"/>
      <c r="D200" s="149"/>
      <c r="E200" s="3">
        <v>74</v>
      </c>
      <c r="G200" s="157"/>
      <c r="I200" s="148"/>
      <c r="J200" s="148"/>
      <c r="K200" s="148"/>
      <c r="L200" s="148"/>
      <c r="M200" s="148"/>
    </row>
    <row r="201" spans="1:13">
      <c r="A201" s="148"/>
      <c r="B201" s="148"/>
      <c r="C201" s="148"/>
      <c r="D201" s="149"/>
      <c r="E201" s="3">
        <v>73</v>
      </c>
      <c r="G201" s="157"/>
      <c r="I201" s="148"/>
      <c r="J201" s="148"/>
      <c r="K201" s="148"/>
      <c r="L201" s="148"/>
      <c r="M201" s="148"/>
    </row>
    <row r="202" spans="1:13">
      <c r="A202" s="148"/>
      <c r="B202" s="148"/>
      <c r="C202" s="148"/>
      <c r="D202" s="149"/>
      <c r="E202" s="3">
        <v>72</v>
      </c>
      <c r="G202" s="157"/>
      <c r="I202" s="148"/>
      <c r="J202" s="148"/>
      <c r="K202" s="148"/>
      <c r="L202" s="148"/>
      <c r="M202" s="148"/>
    </row>
    <row r="203" spans="1:13">
      <c r="A203" s="148"/>
      <c r="B203" s="148"/>
      <c r="C203" s="148"/>
      <c r="D203" s="149"/>
      <c r="E203" s="3">
        <v>71</v>
      </c>
      <c r="G203" s="157"/>
      <c r="I203" s="148"/>
      <c r="J203" s="148"/>
      <c r="K203" s="148"/>
      <c r="L203" s="148"/>
      <c r="M203" s="148"/>
    </row>
    <row r="204" spans="1:13">
      <c r="A204" s="148"/>
      <c r="B204" s="148"/>
      <c r="C204" s="148"/>
      <c r="D204" s="149"/>
      <c r="E204" s="3">
        <v>70</v>
      </c>
      <c r="G204" s="157"/>
      <c r="I204" s="148"/>
      <c r="J204" s="148"/>
      <c r="K204" s="148"/>
      <c r="L204" s="148"/>
      <c r="M204" s="148"/>
    </row>
    <row r="205" spans="1:13">
      <c r="A205" s="148"/>
      <c r="B205" s="148"/>
      <c r="C205" s="148"/>
      <c r="D205" s="149"/>
      <c r="E205" s="3">
        <v>69</v>
      </c>
      <c r="G205" s="157"/>
      <c r="I205" s="148"/>
      <c r="J205" s="148"/>
      <c r="K205" s="148"/>
      <c r="L205" s="148"/>
      <c r="M205" s="148"/>
    </row>
    <row r="206" spans="1:13">
      <c r="A206" s="148"/>
      <c r="B206" s="148"/>
      <c r="C206" s="148"/>
      <c r="D206" s="149"/>
      <c r="E206" s="3">
        <v>68</v>
      </c>
      <c r="G206" s="157"/>
      <c r="I206" s="148"/>
      <c r="J206" s="148"/>
      <c r="K206" s="148"/>
      <c r="L206" s="148"/>
      <c r="M206" s="148"/>
    </row>
    <row r="207" spans="1:13">
      <c r="A207" s="148"/>
      <c r="B207" s="148"/>
      <c r="C207" s="148"/>
      <c r="D207" s="149"/>
      <c r="E207" s="3">
        <v>67</v>
      </c>
      <c r="G207" s="157"/>
      <c r="I207" s="148"/>
      <c r="J207" s="148"/>
      <c r="K207" s="148"/>
      <c r="L207" s="148"/>
      <c r="M207" s="148"/>
    </row>
    <row r="208" spans="1:13">
      <c r="A208" s="148"/>
      <c r="B208" s="148"/>
      <c r="C208" s="148"/>
      <c r="D208" s="149"/>
      <c r="E208" s="3">
        <v>66</v>
      </c>
      <c r="G208" s="157"/>
      <c r="I208" s="148"/>
      <c r="J208" s="148"/>
      <c r="K208" s="148"/>
      <c r="L208" s="148"/>
      <c r="M208" s="148"/>
    </row>
    <row r="209" spans="1:13">
      <c r="A209" s="148"/>
      <c r="B209" s="148"/>
      <c r="C209" s="148"/>
      <c r="D209" s="149"/>
      <c r="E209" s="3">
        <v>65</v>
      </c>
      <c r="G209" s="157"/>
      <c r="I209" s="148"/>
      <c r="J209" s="148"/>
      <c r="K209" s="148"/>
      <c r="L209" s="148"/>
      <c r="M209" s="148"/>
    </row>
    <row r="210" spans="1:13">
      <c r="A210" s="148"/>
      <c r="B210" s="148"/>
      <c r="C210" s="148"/>
      <c r="D210" s="149"/>
      <c r="E210" s="3">
        <v>64</v>
      </c>
      <c r="G210" s="157"/>
      <c r="I210" s="148"/>
      <c r="J210" s="148"/>
      <c r="K210" s="148"/>
      <c r="L210" s="148"/>
      <c r="M210" s="148"/>
    </row>
    <row r="211" spans="1:13">
      <c r="A211" s="148"/>
      <c r="B211" s="148"/>
      <c r="C211" s="148"/>
      <c r="D211" s="149"/>
      <c r="E211" s="3">
        <v>63</v>
      </c>
      <c r="G211" s="157"/>
      <c r="I211" s="148"/>
      <c r="J211" s="148"/>
      <c r="K211" s="148"/>
      <c r="L211" s="148"/>
      <c r="M211" s="148"/>
    </row>
    <row r="212" spans="1:13">
      <c r="A212" s="148"/>
      <c r="B212" s="148"/>
      <c r="C212" s="148"/>
      <c r="D212" s="149"/>
      <c r="E212" s="3">
        <v>62</v>
      </c>
      <c r="G212" s="157"/>
      <c r="I212" s="148"/>
      <c r="J212" s="148"/>
      <c r="K212" s="148"/>
      <c r="L212" s="148"/>
      <c r="M212" s="148"/>
    </row>
    <row r="213" spans="1:13">
      <c r="A213" s="148"/>
      <c r="B213" s="148"/>
      <c r="C213" s="148"/>
      <c r="D213" s="149"/>
      <c r="E213" s="3">
        <v>61</v>
      </c>
      <c r="G213" s="157"/>
      <c r="I213" s="148"/>
      <c r="J213" s="148"/>
      <c r="K213" s="148"/>
      <c r="L213" s="148"/>
      <c r="M213" s="148"/>
    </row>
    <row r="214" spans="1:13">
      <c r="A214" s="148"/>
      <c r="B214" s="148"/>
      <c r="C214" s="148"/>
      <c r="D214" s="149"/>
      <c r="E214" s="3">
        <v>60</v>
      </c>
      <c r="G214" s="157"/>
      <c r="I214" s="148"/>
      <c r="J214" s="148"/>
      <c r="K214" s="148"/>
      <c r="L214" s="148"/>
      <c r="M214" s="148"/>
    </row>
    <row r="215" spans="1:13">
      <c r="A215" s="148"/>
      <c r="B215" s="148"/>
      <c r="C215" s="148"/>
      <c r="D215" s="149"/>
      <c r="E215" s="3">
        <v>59</v>
      </c>
      <c r="G215" s="157"/>
      <c r="I215" s="148"/>
      <c r="J215" s="148"/>
      <c r="K215" s="148"/>
      <c r="L215" s="148"/>
      <c r="M215" s="148"/>
    </row>
    <row r="216" spans="1:13">
      <c r="A216" s="148"/>
      <c r="B216" s="148"/>
      <c r="C216" s="148"/>
      <c r="D216" s="149"/>
      <c r="E216" s="3">
        <v>58</v>
      </c>
      <c r="G216" s="157"/>
      <c r="I216" s="148"/>
      <c r="J216" s="148"/>
      <c r="K216" s="148"/>
      <c r="L216" s="148"/>
      <c r="M216" s="148"/>
    </row>
    <row r="217" spans="1:13">
      <c r="A217" s="148"/>
      <c r="B217" s="148"/>
      <c r="C217" s="148"/>
      <c r="D217" s="149"/>
      <c r="E217" s="3">
        <v>57</v>
      </c>
      <c r="G217" s="157"/>
      <c r="I217" s="148"/>
      <c r="J217" s="148"/>
      <c r="K217" s="148"/>
      <c r="L217" s="148"/>
      <c r="M217" s="148"/>
    </row>
    <row r="218" spans="1:13">
      <c r="A218" s="148"/>
      <c r="B218" s="148"/>
      <c r="C218" s="148"/>
      <c r="D218" s="149"/>
      <c r="E218" s="3">
        <v>56</v>
      </c>
      <c r="G218" s="157"/>
      <c r="I218" s="148"/>
      <c r="J218" s="148"/>
      <c r="K218" s="148"/>
      <c r="L218" s="148"/>
      <c r="M218" s="148"/>
    </row>
    <row r="219" spans="1:13">
      <c r="A219" s="148"/>
      <c r="B219" s="148"/>
      <c r="C219" s="148"/>
      <c r="D219" s="149"/>
      <c r="E219" s="3">
        <v>55</v>
      </c>
      <c r="G219" s="157"/>
      <c r="I219" s="148"/>
      <c r="J219" s="148"/>
      <c r="K219" s="148"/>
      <c r="L219" s="148"/>
      <c r="M219" s="148"/>
    </row>
    <row r="220" spans="1:13">
      <c r="A220" s="148"/>
      <c r="B220" s="148"/>
      <c r="C220" s="148"/>
      <c r="D220" s="149"/>
      <c r="E220" s="3">
        <v>54</v>
      </c>
      <c r="G220" s="157"/>
      <c r="I220" s="148"/>
      <c r="J220" s="148"/>
      <c r="K220" s="148"/>
      <c r="L220" s="148"/>
      <c r="M220" s="148"/>
    </row>
    <row r="221" spans="1:13">
      <c r="A221" s="148"/>
      <c r="B221" s="148"/>
      <c r="C221" s="148"/>
      <c r="D221" s="149"/>
      <c r="E221" s="3">
        <v>53</v>
      </c>
      <c r="G221" s="157"/>
      <c r="I221" s="148"/>
      <c r="J221" s="148"/>
      <c r="K221" s="148"/>
      <c r="L221" s="148"/>
      <c r="M221" s="148"/>
    </row>
    <row r="222" spans="1:13">
      <c r="A222" s="148"/>
      <c r="B222" s="148"/>
      <c r="C222" s="148"/>
      <c r="D222" s="149"/>
      <c r="E222" s="3">
        <v>52</v>
      </c>
      <c r="G222" s="157"/>
      <c r="I222" s="148"/>
      <c r="J222" s="148"/>
      <c r="K222" s="148"/>
      <c r="L222" s="148"/>
      <c r="M222" s="148"/>
    </row>
    <row r="223" spans="1:13">
      <c r="A223" s="148"/>
      <c r="B223" s="148"/>
      <c r="C223" s="148"/>
      <c r="D223" s="149"/>
      <c r="E223" s="3">
        <v>51</v>
      </c>
      <c r="G223" s="157"/>
      <c r="I223" s="148"/>
      <c r="J223" s="148"/>
      <c r="K223" s="148"/>
      <c r="L223" s="148"/>
      <c r="M223" s="148"/>
    </row>
    <row r="224" spans="1:13">
      <c r="A224" s="148"/>
      <c r="B224" s="148"/>
      <c r="C224" s="148"/>
      <c r="D224" s="149"/>
      <c r="E224" s="3">
        <v>50</v>
      </c>
      <c r="G224" s="157"/>
      <c r="I224" s="148"/>
      <c r="J224" s="148"/>
      <c r="K224" s="148"/>
      <c r="L224" s="148"/>
      <c r="M224" s="148"/>
    </row>
    <row r="225" spans="1:13">
      <c r="A225" s="148"/>
      <c r="B225" s="148"/>
      <c r="C225" s="148"/>
      <c r="D225" s="149"/>
      <c r="E225" s="3">
        <v>49</v>
      </c>
      <c r="G225" s="157"/>
      <c r="I225" s="148"/>
      <c r="J225" s="148"/>
      <c r="K225" s="148"/>
      <c r="L225" s="148"/>
      <c r="M225" s="148"/>
    </row>
    <row r="226" spans="1:13">
      <c r="A226" s="148"/>
      <c r="B226" s="148"/>
      <c r="C226" s="148"/>
      <c r="D226" s="149"/>
      <c r="E226" s="3">
        <v>48</v>
      </c>
      <c r="F226" s="169" t="s">
        <v>157</v>
      </c>
      <c r="G226" s="169" t="s">
        <v>157</v>
      </c>
      <c r="I226" s="148"/>
      <c r="J226" s="148"/>
      <c r="K226" s="148"/>
      <c r="L226" s="148"/>
      <c r="M226" s="148"/>
    </row>
    <row r="227" spans="1:13">
      <c r="A227" s="148"/>
      <c r="B227" s="148"/>
      <c r="C227" s="148"/>
      <c r="D227" s="149"/>
      <c r="E227" s="3">
        <v>47</v>
      </c>
      <c r="F227" s="158"/>
      <c r="G227" s="157"/>
      <c r="I227" s="148"/>
      <c r="J227" s="148"/>
      <c r="K227" s="148"/>
      <c r="L227" s="148"/>
      <c r="M227" s="148"/>
    </row>
    <row r="228" spans="1:13">
      <c r="A228" s="148"/>
      <c r="B228" s="148"/>
      <c r="C228" s="148"/>
      <c r="D228" s="149"/>
      <c r="E228" s="3">
        <v>46</v>
      </c>
      <c r="F228" s="158"/>
      <c r="G228" s="157"/>
      <c r="I228" s="148"/>
      <c r="J228" s="148"/>
      <c r="K228" s="148"/>
      <c r="L228" s="148"/>
      <c r="M228" s="148"/>
    </row>
    <row r="229" spans="1:13">
      <c r="A229" s="148"/>
      <c r="B229" s="148"/>
      <c r="C229" s="148"/>
      <c r="D229" s="149"/>
      <c r="E229" s="3">
        <v>45</v>
      </c>
      <c r="F229" s="158"/>
      <c r="G229" s="157"/>
      <c r="I229" s="148"/>
      <c r="J229" s="148"/>
      <c r="K229" s="148"/>
      <c r="L229" s="148"/>
      <c r="M229" s="148"/>
    </row>
    <row r="230" spans="1:13">
      <c r="A230" s="148"/>
      <c r="B230" s="148"/>
      <c r="C230" s="148"/>
      <c r="D230" s="149"/>
      <c r="E230" s="3">
        <v>44</v>
      </c>
      <c r="F230" s="158"/>
      <c r="G230" s="157"/>
      <c r="I230" s="148"/>
      <c r="J230" s="148"/>
      <c r="K230" s="148"/>
      <c r="L230" s="148"/>
      <c r="M230" s="148"/>
    </row>
    <row r="231" spans="1:13">
      <c r="A231" s="148"/>
      <c r="B231" s="148"/>
      <c r="C231" s="148"/>
      <c r="D231" s="149"/>
      <c r="E231" s="3">
        <v>43</v>
      </c>
      <c r="F231" s="158"/>
      <c r="G231" s="157"/>
      <c r="I231" s="148"/>
      <c r="J231" s="148"/>
      <c r="K231" s="148"/>
      <c r="L231" s="148"/>
      <c r="M231" s="148"/>
    </row>
    <row r="232" spans="1:13">
      <c r="A232" s="148"/>
      <c r="B232" s="148"/>
      <c r="C232" s="148"/>
      <c r="D232" s="149"/>
      <c r="E232" s="3">
        <v>42</v>
      </c>
      <c r="F232" s="158"/>
      <c r="G232" s="157"/>
      <c r="I232" s="148"/>
      <c r="J232" s="148"/>
      <c r="K232" s="148"/>
      <c r="L232" s="148"/>
      <c r="M232" s="148"/>
    </row>
    <row r="233" spans="1:13">
      <c r="A233" s="148"/>
      <c r="B233" s="148"/>
      <c r="C233" s="148"/>
      <c r="D233" s="149"/>
      <c r="E233" s="3">
        <v>41</v>
      </c>
      <c r="F233" s="158"/>
      <c r="G233" s="157"/>
      <c r="I233" s="148"/>
      <c r="J233" s="148"/>
      <c r="K233" s="148"/>
      <c r="L233" s="148"/>
      <c r="M233" s="148"/>
    </row>
    <row r="234" spans="1:13">
      <c r="A234" s="148"/>
      <c r="B234" s="148"/>
      <c r="C234" s="148"/>
      <c r="D234" s="149"/>
      <c r="E234" s="3">
        <v>40</v>
      </c>
      <c r="F234" s="158"/>
      <c r="G234" s="157"/>
      <c r="I234" s="148"/>
      <c r="J234" s="148"/>
      <c r="K234" s="148"/>
      <c r="L234" s="148"/>
      <c r="M234" s="148"/>
    </row>
    <row r="235" spans="1:13">
      <c r="A235" s="148"/>
      <c r="B235" s="148"/>
      <c r="C235" s="148"/>
      <c r="D235" s="149"/>
      <c r="E235" s="3">
        <v>39</v>
      </c>
      <c r="F235" s="158"/>
      <c r="G235" s="157"/>
      <c r="I235" s="148"/>
      <c r="J235" s="148"/>
      <c r="K235" s="148"/>
      <c r="L235" s="148"/>
      <c r="M235" s="148"/>
    </row>
    <row r="236" spans="1:13">
      <c r="A236" s="148"/>
      <c r="B236" s="148"/>
      <c r="C236" s="148"/>
      <c r="D236" s="149"/>
      <c r="E236" s="3">
        <v>38</v>
      </c>
      <c r="F236" s="158"/>
      <c r="G236" s="157"/>
      <c r="I236" s="148"/>
      <c r="J236" s="148"/>
      <c r="K236" s="148"/>
      <c r="L236" s="148"/>
      <c r="M236" s="148"/>
    </row>
    <row r="237" spans="1:13">
      <c r="A237" s="148"/>
      <c r="B237" s="148"/>
      <c r="C237" s="148"/>
      <c r="D237" s="149"/>
      <c r="E237" s="3">
        <v>37</v>
      </c>
      <c r="F237" s="158"/>
      <c r="G237" s="157"/>
      <c r="I237" s="148"/>
      <c r="J237" s="148"/>
      <c r="K237" s="148"/>
      <c r="L237" s="148"/>
      <c r="M237" s="148"/>
    </row>
    <row r="238" spans="1:13">
      <c r="A238" s="148"/>
      <c r="B238" s="148"/>
      <c r="C238" s="148"/>
      <c r="D238" s="149"/>
      <c r="E238" s="3">
        <v>36</v>
      </c>
      <c r="F238" s="158"/>
      <c r="G238" s="157"/>
      <c r="I238" s="148"/>
      <c r="J238" s="148"/>
      <c r="K238" s="148"/>
      <c r="L238" s="148"/>
      <c r="M238" s="148"/>
    </row>
    <row r="239" spans="1:13">
      <c r="A239" s="148"/>
      <c r="B239" s="148"/>
      <c r="C239" s="148"/>
      <c r="D239" s="149"/>
      <c r="E239" s="3">
        <v>35</v>
      </c>
      <c r="F239" s="158"/>
      <c r="G239" s="157"/>
      <c r="I239" s="148"/>
      <c r="J239" s="148"/>
      <c r="K239" s="148"/>
      <c r="L239" s="148"/>
      <c r="M239" s="148"/>
    </row>
    <row r="240" spans="1:13">
      <c r="A240" s="148"/>
      <c r="B240" s="148"/>
      <c r="C240" s="148"/>
      <c r="D240" s="149"/>
      <c r="E240" s="3">
        <v>34</v>
      </c>
      <c r="F240" s="158"/>
      <c r="G240" s="157"/>
      <c r="I240" s="148"/>
      <c r="J240" s="148"/>
      <c r="K240" s="148"/>
      <c r="L240" s="148"/>
      <c r="M240" s="148"/>
    </row>
    <row r="241" spans="1:13">
      <c r="A241" s="148"/>
      <c r="B241" s="148"/>
      <c r="C241" s="148"/>
      <c r="D241" s="149"/>
      <c r="E241" s="3">
        <v>33</v>
      </c>
      <c r="F241" s="158"/>
      <c r="G241" s="157"/>
      <c r="I241" s="148"/>
      <c r="J241" s="148"/>
      <c r="K241" s="148"/>
      <c r="L241" s="148"/>
      <c r="M241" s="148"/>
    </row>
    <row r="242" spans="1:13">
      <c r="A242" s="148"/>
      <c r="B242" s="148"/>
      <c r="C242" s="148"/>
      <c r="D242" s="149"/>
      <c r="E242" s="3">
        <v>32</v>
      </c>
      <c r="F242" s="158"/>
      <c r="G242" s="157"/>
      <c r="I242" s="148"/>
      <c r="J242" s="148"/>
      <c r="K242" s="148"/>
      <c r="L242" s="148"/>
      <c r="M242" s="148"/>
    </row>
    <row r="243" spans="1:13">
      <c r="A243" s="148"/>
      <c r="B243" s="148"/>
      <c r="C243" s="148"/>
      <c r="D243" s="149"/>
      <c r="E243" s="3">
        <v>31</v>
      </c>
      <c r="F243" s="158"/>
      <c r="G243" s="157"/>
      <c r="I243" s="148"/>
      <c r="J243" s="148"/>
      <c r="K243" s="148"/>
      <c r="L243" s="148"/>
      <c r="M243" s="148"/>
    </row>
    <row r="244" spans="1:13">
      <c r="A244" s="148"/>
      <c r="B244" s="148"/>
      <c r="C244" s="148"/>
      <c r="D244" s="149"/>
      <c r="E244" s="3">
        <v>30</v>
      </c>
      <c r="F244" s="158"/>
      <c r="G244" s="157"/>
      <c r="I244" s="148"/>
      <c r="J244" s="148"/>
      <c r="K244" s="148"/>
      <c r="L244" s="148"/>
      <c r="M244" s="148"/>
    </row>
    <row r="245" spans="1:13">
      <c r="A245" s="148"/>
      <c r="B245" s="148"/>
      <c r="C245" s="148"/>
      <c r="D245" s="149"/>
      <c r="E245" s="3">
        <v>29</v>
      </c>
      <c r="F245" s="158"/>
      <c r="G245" s="157"/>
      <c r="I245" s="148"/>
      <c r="J245" s="148"/>
      <c r="K245" s="148"/>
      <c r="L245" s="148"/>
      <c r="M245" s="148"/>
    </row>
    <row r="246" spans="1:13">
      <c r="A246" s="148"/>
      <c r="B246" s="148"/>
      <c r="C246" s="148"/>
      <c r="D246" s="149"/>
      <c r="E246" s="3">
        <v>28</v>
      </c>
      <c r="F246" s="158"/>
      <c r="G246" s="157"/>
      <c r="I246" s="148"/>
      <c r="J246" s="148"/>
      <c r="K246" s="148"/>
      <c r="L246" s="148"/>
      <c r="M246" s="148"/>
    </row>
    <row r="247" spans="1:13">
      <c r="A247" s="148"/>
      <c r="B247" s="148"/>
      <c r="C247" s="148"/>
      <c r="D247" s="149"/>
      <c r="E247" s="3">
        <v>27</v>
      </c>
      <c r="F247" s="158"/>
      <c r="G247" s="157"/>
      <c r="I247" s="148"/>
      <c r="J247" s="148"/>
      <c r="K247" s="148"/>
      <c r="L247" s="148"/>
      <c r="M247" s="148"/>
    </row>
    <row r="248" spans="1:13">
      <c r="A248" s="148"/>
      <c r="B248" s="148"/>
      <c r="C248" s="148"/>
      <c r="D248" s="149"/>
      <c r="E248" s="3">
        <v>26</v>
      </c>
      <c r="F248" s="158"/>
      <c r="G248" s="157"/>
      <c r="I248" s="148"/>
      <c r="J248" s="148"/>
      <c r="K248" s="148"/>
      <c r="L248" s="148"/>
      <c r="M248" s="148"/>
    </row>
    <row r="249" spans="1:13">
      <c r="A249" s="148"/>
      <c r="B249" s="148"/>
      <c r="C249" s="148"/>
      <c r="D249" s="149"/>
      <c r="E249" s="3">
        <v>25</v>
      </c>
      <c r="F249" s="158"/>
      <c r="G249" s="157"/>
      <c r="I249" s="148"/>
      <c r="J249" s="148"/>
      <c r="K249" s="148"/>
      <c r="L249" s="148"/>
      <c r="M249" s="148"/>
    </row>
    <row r="250" spans="1:13">
      <c r="A250" s="148"/>
      <c r="B250" s="148"/>
      <c r="C250" s="148"/>
      <c r="D250" s="149"/>
      <c r="E250" s="3">
        <v>24</v>
      </c>
      <c r="F250" s="158"/>
      <c r="G250" s="157"/>
      <c r="I250" s="148"/>
      <c r="J250" s="148"/>
      <c r="K250" s="148"/>
      <c r="L250" s="148"/>
      <c r="M250" s="148"/>
    </row>
    <row r="251" spans="1:13">
      <c r="A251" s="148"/>
      <c r="B251" s="148"/>
      <c r="C251" s="148"/>
      <c r="D251" s="149"/>
      <c r="E251" s="3">
        <v>23</v>
      </c>
      <c r="F251" s="158"/>
      <c r="G251" s="157"/>
      <c r="I251" s="148"/>
      <c r="J251" s="148"/>
      <c r="K251" s="148"/>
      <c r="L251" s="148"/>
      <c r="M251" s="148"/>
    </row>
    <row r="252" spans="1:13">
      <c r="A252" s="148"/>
      <c r="B252" s="148"/>
      <c r="C252" s="148"/>
      <c r="D252" s="149"/>
      <c r="E252" s="3">
        <v>22</v>
      </c>
      <c r="F252" s="158"/>
      <c r="G252" s="157"/>
      <c r="I252" s="148"/>
      <c r="J252" s="148"/>
      <c r="K252" s="148"/>
      <c r="L252" s="148"/>
      <c r="M252" s="148"/>
    </row>
    <row r="253" spans="1:13">
      <c r="A253" s="148"/>
      <c r="B253" s="148"/>
      <c r="C253" s="148"/>
      <c r="D253" s="149"/>
      <c r="E253" s="3">
        <v>21</v>
      </c>
      <c r="F253" s="158"/>
      <c r="G253" s="157"/>
      <c r="I253" s="148"/>
      <c r="J253" s="148"/>
      <c r="K253" s="148"/>
      <c r="L253" s="148"/>
      <c r="M253" s="148"/>
    </row>
    <row r="254" spans="1:13">
      <c r="A254" s="148"/>
      <c r="B254" s="148"/>
      <c r="C254" s="148"/>
      <c r="D254" s="149"/>
      <c r="E254" s="3">
        <v>20</v>
      </c>
      <c r="F254" s="158"/>
      <c r="G254" s="157"/>
      <c r="I254" s="148"/>
      <c r="J254" s="148"/>
      <c r="K254" s="148"/>
      <c r="L254" s="148"/>
      <c r="M254" s="148"/>
    </row>
    <row r="255" spans="1:13">
      <c r="A255" s="148"/>
      <c r="B255" s="148"/>
      <c r="C255" s="148"/>
      <c r="D255" s="149"/>
      <c r="E255" s="3">
        <v>19</v>
      </c>
      <c r="F255" s="158"/>
      <c r="G255" s="157"/>
      <c r="I255" s="148"/>
      <c r="J255" s="148"/>
      <c r="K255" s="148"/>
      <c r="L255" s="148"/>
      <c r="M255" s="148"/>
    </row>
    <row r="256" spans="1:13">
      <c r="A256" s="148"/>
      <c r="B256" s="148"/>
      <c r="C256" s="148"/>
      <c r="D256" s="149"/>
      <c r="E256" s="3">
        <v>18</v>
      </c>
      <c r="F256" s="158"/>
      <c r="G256" s="157"/>
      <c r="I256" s="148"/>
      <c r="J256" s="148"/>
      <c r="K256" s="148"/>
      <c r="L256" s="148"/>
      <c r="M256" s="148"/>
    </row>
    <row r="257" spans="1:13">
      <c r="A257" s="148"/>
      <c r="B257" s="148"/>
      <c r="C257" s="148"/>
      <c r="D257" s="149"/>
      <c r="E257" s="3">
        <v>17</v>
      </c>
      <c r="F257" s="158"/>
      <c r="G257" s="157"/>
      <c r="I257" s="148"/>
      <c r="J257" s="148"/>
      <c r="K257" s="148"/>
      <c r="L257" s="148"/>
      <c r="M257" s="148"/>
    </row>
    <row r="258" spans="1:13">
      <c r="A258" s="148"/>
      <c r="B258" s="148"/>
      <c r="C258" s="148"/>
      <c r="D258" s="149"/>
      <c r="E258" s="3">
        <v>16</v>
      </c>
      <c r="F258" s="158"/>
      <c r="G258" s="157"/>
      <c r="I258" s="148"/>
      <c r="J258" s="148"/>
      <c r="K258" s="148"/>
      <c r="L258" s="148"/>
      <c r="M258" s="148"/>
    </row>
    <row r="259" spans="1:13">
      <c r="A259" s="148"/>
      <c r="B259" s="148"/>
      <c r="C259" s="148"/>
      <c r="D259" s="149"/>
      <c r="E259" s="3">
        <v>15</v>
      </c>
      <c r="F259" s="158"/>
      <c r="G259" s="157"/>
      <c r="I259" s="148"/>
      <c r="J259" s="148"/>
      <c r="K259" s="148"/>
      <c r="L259" s="148"/>
      <c r="M259" s="148"/>
    </row>
    <row r="260" spans="1:13">
      <c r="A260" s="148"/>
      <c r="B260" s="148"/>
      <c r="C260" s="148"/>
      <c r="D260" s="149"/>
      <c r="E260" s="3">
        <v>14</v>
      </c>
      <c r="F260" s="158"/>
      <c r="G260" s="157"/>
      <c r="I260" s="148"/>
      <c r="J260" s="148"/>
      <c r="K260" s="148"/>
      <c r="L260" s="148"/>
      <c r="M260" s="148"/>
    </row>
    <row r="261" spans="1:13">
      <c r="A261" s="148"/>
      <c r="B261" s="148"/>
      <c r="C261" s="148"/>
      <c r="D261" s="149"/>
      <c r="E261" s="3">
        <v>13</v>
      </c>
      <c r="F261" s="158"/>
      <c r="G261" s="157"/>
      <c r="I261" s="148"/>
      <c r="J261" s="148"/>
      <c r="K261" s="148"/>
      <c r="L261" s="148"/>
      <c r="M261" s="148"/>
    </row>
    <row r="262" spans="1:13">
      <c r="A262" s="148"/>
      <c r="B262" s="148"/>
      <c r="C262" s="148"/>
      <c r="D262" s="149"/>
      <c r="E262" s="3">
        <v>12</v>
      </c>
      <c r="F262" s="158"/>
      <c r="G262" s="157"/>
      <c r="I262" s="148"/>
      <c r="J262" s="148"/>
      <c r="K262" s="148"/>
      <c r="L262" s="148"/>
      <c r="M262" s="148"/>
    </row>
    <row r="263" spans="1:13">
      <c r="A263" s="148"/>
      <c r="B263" s="148"/>
      <c r="C263" s="148"/>
      <c r="D263" s="149"/>
      <c r="E263" s="3">
        <v>11</v>
      </c>
      <c r="F263" s="158"/>
      <c r="G263" s="157"/>
      <c r="I263" s="148"/>
      <c r="J263" s="148"/>
      <c r="K263" s="148"/>
      <c r="L263" s="148"/>
      <c r="M263" s="148"/>
    </row>
    <row r="264" spans="1:13">
      <c r="A264" s="148"/>
      <c r="B264" s="148"/>
      <c r="C264" s="148"/>
      <c r="D264" s="149"/>
      <c r="E264" s="3">
        <v>10</v>
      </c>
      <c r="F264" s="158"/>
      <c r="G264" s="157"/>
      <c r="I264" s="148"/>
      <c r="J264" s="148"/>
      <c r="K264" s="148"/>
      <c r="L264" s="148"/>
      <c r="M264" s="148"/>
    </row>
    <row r="265" spans="1:13">
      <c r="A265" s="148"/>
      <c r="B265" s="148"/>
      <c r="C265" s="148"/>
      <c r="D265" s="149"/>
      <c r="E265" s="3">
        <v>9</v>
      </c>
      <c r="F265" s="158"/>
      <c r="G265" s="157"/>
      <c r="I265" s="148"/>
      <c r="J265" s="148"/>
      <c r="K265" s="148"/>
      <c r="L265" s="148"/>
      <c r="M265" s="148"/>
    </row>
    <row r="266" spans="1:13">
      <c r="A266" s="148"/>
      <c r="B266" s="148"/>
      <c r="C266" s="148"/>
      <c r="D266" s="149"/>
      <c r="E266" s="3">
        <v>8</v>
      </c>
      <c r="F266" s="158"/>
      <c r="G266" s="157"/>
      <c r="I266" s="148"/>
      <c r="J266" s="148"/>
      <c r="K266" s="148"/>
      <c r="L266" s="148"/>
      <c r="M266" s="148"/>
    </row>
    <row r="267" spans="1:13">
      <c r="A267" s="148"/>
      <c r="B267" s="148"/>
      <c r="C267" s="148"/>
      <c r="D267" s="149"/>
      <c r="E267" s="3">
        <v>7</v>
      </c>
      <c r="F267" s="158"/>
      <c r="G267" s="157"/>
      <c r="I267" s="172" t="s">
        <v>304</v>
      </c>
      <c r="J267" s="172" t="s">
        <v>305</v>
      </c>
      <c r="K267" s="148"/>
      <c r="L267" s="148"/>
      <c r="M267" s="148"/>
    </row>
    <row r="268" spans="1:13">
      <c r="A268" s="148"/>
      <c r="B268" s="148"/>
      <c r="C268" s="148"/>
      <c r="D268" s="149"/>
      <c r="E268" s="3">
        <v>6</v>
      </c>
      <c r="F268" s="158"/>
      <c r="G268" s="157"/>
      <c r="I268" s="171"/>
      <c r="J268" s="173" t="s">
        <v>303</v>
      </c>
      <c r="K268" s="148"/>
      <c r="L268" s="148"/>
      <c r="M268" s="148"/>
    </row>
    <row r="269" spans="1:13">
      <c r="A269" s="148"/>
      <c r="B269" s="148"/>
      <c r="C269" s="148"/>
      <c r="D269" s="149"/>
      <c r="E269" s="3">
        <v>5</v>
      </c>
      <c r="F269" s="158"/>
      <c r="G269" s="157"/>
      <c r="I269" s="168"/>
      <c r="J269" s="173" t="s">
        <v>302</v>
      </c>
      <c r="K269" s="148"/>
      <c r="L269" s="148"/>
      <c r="M269" s="148"/>
    </row>
    <row r="270" spans="1:13">
      <c r="A270" s="148"/>
      <c r="B270" s="148"/>
      <c r="C270" s="148"/>
      <c r="D270" s="149"/>
      <c r="E270" s="3">
        <v>4</v>
      </c>
      <c r="F270" s="170" t="s">
        <v>46</v>
      </c>
      <c r="G270" s="170" t="s">
        <v>158</v>
      </c>
      <c r="I270" s="163"/>
      <c r="J270" s="173" t="s">
        <v>301</v>
      </c>
      <c r="K270" s="148"/>
      <c r="L270" s="148"/>
      <c r="M270" s="148"/>
    </row>
    <row r="271" spans="1:13">
      <c r="A271" s="148"/>
      <c r="B271" s="148"/>
      <c r="C271" s="148"/>
      <c r="D271" s="149"/>
      <c r="E271" s="3">
        <v>3</v>
      </c>
      <c r="F271" s="170" t="s">
        <v>46</v>
      </c>
      <c r="G271" s="170" t="s">
        <v>158</v>
      </c>
      <c r="I271" s="167"/>
      <c r="J271" s="173" t="s">
        <v>300</v>
      </c>
      <c r="K271" s="148"/>
      <c r="L271" s="148"/>
      <c r="M271" s="148"/>
    </row>
    <row r="272" spans="1:13">
      <c r="A272" s="148"/>
      <c r="B272" s="148"/>
      <c r="C272" s="148"/>
      <c r="D272" s="149"/>
      <c r="E272" s="3">
        <v>2</v>
      </c>
      <c r="F272" s="170" t="s">
        <v>46</v>
      </c>
      <c r="G272" s="170" t="s">
        <v>158</v>
      </c>
      <c r="I272" s="166"/>
      <c r="J272" s="173" t="s">
        <v>299</v>
      </c>
      <c r="K272" s="148"/>
      <c r="L272" s="148"/>
      <c r="M272" s="148"/>
    </row>
    <row r="273" spans="1:13">
      <c r="A273" s="148"/>
      <c r="B273" s="148"/>
      <c r="C273" s="148"/>
      <c r="D273" s="149"/>
      <c r="E273" s="3">
        <v>1</v>
      </c>
      <c r="F273" s="169" t="s">
        <v>284</v>
      </c>
      <c r="G273" s="169" t="s">
        <v>157</v>
      </c>
      <c r="I273" s="165"/>
      <c r="J273" s="173" t="s">
        <v>298</v>
      </c>
      <c r="K273" s="148"/>
      <c r="L273" s="148"/>
      <c r="M273" s="148"/>
    </row>
    <row r="274" spans="1:13">
      <c r="A274" s="148"/>
      <c r="B274" s="148"/>
      <c r="C274" s="148"/>
      <c r="D274" s="149"/>
      <c r="E274" s="3">
        <v>0</v>
      </c>
      <c r="G274" s="157"/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0"/>
  <sheetViews>
    <sheetView workbookViewId="0">
      <selection activeCell="D13" sqref="D13"/>
    </sheetView>
  </sheetViews>
  <sheetFormatPr defaultRowHeight="13.5"/>
  <cols>
    <col min="4" max="4" width="18.375" bestFit="1" customWidth="1"/>
    <col min="5" max="5" width="22.75" bestFit="1" customWidth="1"/>
    <col min="6" max="6" width="12.75" bestFit="1" customWidth="1"/>
    <col min="7" max="7" width="22.75" bestFit="1" customWidth="1"/>
    <col min="8" max="8" width="17.25" bestFit="1" customWidth="1"/>
    <col min="9" max="9" width="12.75" bestFit="1" customWidth="1"/>
  </cols>
  <sheetData>
    <row r="1" spans="1:12">
      <c r="A1" s="231" t="s">
        <v>259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</row>
    <row r="2" spans="1:12" ht="30.75" customHeight="1">
      <c r="A2" s="83" t="s">
        <v>260</v>
      </c>
      <c r="B2" s="163" t="s">
        <v>295</v>
      </c>
      <c r="C2" s="163" t="s">
        <v>296</v>
      </c>
      <c r="D2" s="83" t="s">
        <v>261</v>
      </c>
      <c r="E2" s="83" t="s">
        <v>262</v>
      </c>
      <c r="F2" s="83" t="s">
        <v>263</v>
      </c>
      <c r="G2" s="83" t="s">
        <v>264</v>
      </c>
      <c r="H2" s="83" t="s">
        <v>265</v>
      </c>
      <c r="I2" s="83" t="s">
        <v>266</v>
      </c>
      <c r="J2" s="83" t="s">
        <v>267</v>
      </c>
      <c r="K2" s="2" t="s">
        <v>297</v>
      </c>
      <c r="L2" s="87" t="s">
        <v>307</v>
      </c>
    </row>
    <row r="3" spans="1:12">
      <c r="A3" s="1"/>
      <c r="B3" s="161"/>
      <c r="C3" s="161"/>
      <c r="D3" s="1"/>
      <c r="E3" s="1"/>
      <c r="F3" s="1"/>
      <c r="G3" s="1"/>
      <c r="H3" s="1"/>
      <c r="I3" s="1"/>
      <c r="J3" s="1"/>
      <c r="K3" s="161"/>
      <c r="L3" s="161"/>
    </row>
    <row r="4" spans="1:12">
      <c r="A4" s="1"/>
      <c r="B4" s="161"/>
      <c r="C4" s="161"/>
      <c r="D4" s="1"/>
      <c r="E4" s="1"/>
      <c r="F4" s="1"/>
      <c r="G4" s="1"/>
      <c r="H4" s="1"/>
      <c r="I4" s="1"/>
      <c r="J4" s="1"/>
      <c r="K4" s="161"/>
      <c r="L4" s="161"/>
    </row>
    <row r="5" spans="1:12">
      <c r="A5" s="1"/>
      <c r="B5" s="161"/>
      <c r="C5" s="161"/>
      <c r="D5" s="1"/>
      <c r="E5" s="1"/>
      <c r="F5" s="1"/>
      <c r="G5" s="1"/>
      <c r="H5" s="1"/>
      <c r="I5" s="1"/>
      <c r="J5" s="1"/>
      <c r="K5" s="161"/>
      <c r="L5" s="161"/>
    </row>
    <row r="6" spans="1:12">
      <c r="A6" s="1"/>
      <c r="B6" s="161"/>
      <c r="C6" s="161"/>
      <c r="D6" s="1"/>
      <c r="E6" s="1"/>
      <c r="F6" s="1"/>
      <c r="G6" s="1"/>
      <c r="H6" s="1"/>
      <c r="I6" s="1"/>
      <c r="J6" s="1"/>
      <c r="K6" s="161"/>
      <c r="L6" s="161"/>
    </row>
    <row r="7" spans="1:12">
      <c r="A7" s="1"/>
      <c r="B7" s="161"/>
      <c r="C7" s="161"/>
      <c r="D7" s="1"/>
      <c r="E7" s="1"/>
      <c r="F7" s="1"/>
      <c r="G7" s="1"/>
      <c r="H7" s="1"/>
      <c r="I7" s="1"/>
      <c r="J7" s="1"/>
      <c r="K7" s="161"/>
      <c r="L7" s="161"/>
    </row>
    <row r="8" spans="1:12">
      <c r="A8" s="1"/>
      <c r="B8" s="161"/>
      <c r="C8" s="161"/>
      <c r="D8" s="1"/>
      <c r="E8" s="1"/>
      <c r="F8" s="1"/>
      <c r="G8" s="1"/>
      <c r="H8" s="1"/>
      <c r="I8" s="1"/>
      <c r="J8" s="1"/>
      <c r="K8" s="161"/>
      <c r="L8" s="161"/>
    </row>
    <row r="9" spans="1:12">
      <c r="A9" s="1"/>
      <c r="B9" s="161"/>
      <c r="C9" s="161"/>
      <c r="D9" s="1"/>
      <c r="E9" s="1"/>
      <c r="F9" s="1"/>
      <c r="G9" s="1"/>
      <c r="H9" s="1"/>
      <c r="I9" s="1"/>
      <c r="J9" s="1"/>
      <c r="K9" s="161"/>
      <c r="L9" s="161"/>
    </row>
    <row r="10" spans="1:12">
      <c r="A10" s="1"/>
      <c r="B10" s="161"/>
      <c r="C10" s="161"/>
      <c r="D10" s="1"/>
      <c r="E10" s="1"/>
      <c r="F10" s="1"/>
      <c r="G10" s="1"/>
      <c r="H10" s="1"/>
      <c r="I10" s="1"/>
      <c r="J10" s="1"/>
      <c r="K10" s="161"/>
      <c r="L10" s="161"/>
    </row>
    <row r="11" spans="1:12">
      <c r="A11" s="1"/>
      <c r="B11" s="161"/>
      <c r="C11" s="161"/>
      <c r="D11" s="1"/>
      <c r="E11" s="1"/>
      <c r="F11" s="1"/>
      <c r="G11" s="1"/>
      <c r="H11" s="1"/>
      <c r="I11" s="1"/>
      <c r="J11" s="1"/>
      <c r="K11" s="161"/>
      <c r="L11" s="161"/>
    </row>
    <row r="12" spans="1:12">
      <c r="A12" s="1"/>
      <c r="B12" s="161"/>
      <c r="C12" s="161"/>
      <c r="D12" s="1"/>
      <c r="E12" s="1"/>
      <c r="F12" s="1"/>
      <c r="G12" s="1"/>
      <c r="H12" s="1"/>
      <c r="I12" s="1"/>
      <c r="J12" s="1"/>
      <c r="K12" s="161"/>
      <c r="L12" s="161"/>
    </row>
    <row r="13" spans="1:12">
      <c r="A13" s="1"/>
      <c r="B13" s="161"/>
      <c r="C13" s="161"/>
      <c r="D13" s="1"/>
      <c r="E13" s="1"/>
      <c r="F13" s="1"/>
      <c r="G13" s="1"/>
      <c r="H13" s="1"/>
      <c r="I13" s="1"/>
      <c r="J13" s="1"/>
      <c r="K13" s="161"/>
      <c r="L13" s="161"/>
    </row>
    <row r="14" spans="1:12">
      <c r="A14" s="1"/>
      <c r="B14" s="161"/>
      <c r="C14" s="161"/>
      <c r="D14" s="1"/>
      <c r="E14" s="1"/>
      <c r="F14" s="1"/>
      <c r="G14" s="1"/>
      <c r="H14" s="1"/>
      <c r="I14" s="1"/>
      <c r="J14" s="1"/>
      <c r="K14" s="161"/>
      <c r="L14" s="161"/>
    </row>
    <row r="15" spans="1:12">
      <c r="A15" s="1"/>
      <c r="B15" s="161"/>
      <c r="C15" s="161"/>
      <c r="D15" s="1"/>
      <c r="E15" s="1"/>
      <c r="F15" s="1"/>
      <c r="G15" s="1"/>
      <c r="H15" s="1"/>
      <c r="I15" s="1"/>
      <c r="J15" s="1"/>
      <c r="K15" s="161"/>
      <c r="L15" s="161"/>
    </row>
    <row r="16" spans="1:12">
      <c r="A16" s="1"/>
      <c r="B16" s="161"/>
      <c r="C16" s="161"/>
      <c r="D16" s="1"/>
      <c r="E16" s="1"/>
      <c r="F16" s="1"/>
      <c r="G16" s="1"/>
      <c r="H16" s="1"/>
      <c r="I16" s="1"/>
      <c r="J16" s="1"/>
      <c r="K16" s="161"/>
      <c r="L16" s="161"/>
    </row>
    <row r="17" spans="1:12">
      <c r="A17" s="1"/>
      <c r="B17" s="161"/>
      <c r="C17" s="161"/>
      <c r="D17" s="1"/>
      <c r="E17" s="1"/>
      <c r="F17" s="1"/>
      <c r="G17" s="1"/>
      <c r="H17" s="1"/>
      <c r="I17" s="1"/>
      <c r="J17" s="1"/>
      <c r="K17" s="161"/>
      <c r="L17" s="161"/>
    </row>
    <row r="18" spans="1:12">
      <c r="A18" s="1"/>
      <c r="B18" s="161"/>
      <c r="C18" s="161"/>
      <c r="D18" s="1"/>
      <c r="E18" s="1"/>
      <c r="F18" s="1"/>
      <c r="G18" s="1"/>
      <c r="H18" s="1"/>
      <c r="I18" s="1"/>
      <c r="J18" s="1"/>
      <c r="K18" s="161"/>
      <c r="L18" s="161"/>
    </row>
    <row r="19" spans="1:12">
      <c r="A19" s="1"/>
      <c r="B19" s="161"/>
      <c r="C19" s="161"/>
      <c r="D19" s="1"/>
      <c r="E19" s="1"/>
      <c r="F19" s="1"/>
      <c r="G19" s="1"/>
      <c r="H19" s="1"/>
      <c r="I19" s="1"/>
      <c r="J19" s="1"/>
      <c r="K19" s="161"/>
      <c r="L19" s="161"/>
    </row>
    <row r="20" spans="1:12">
      <c r="A20" s="1"/>
      <c r="B20" s="161"/>
      <c r="C20" s="161"/>
      <c r="D20" s="1"/>
      <c r="E20" s="1"/>
      <c r="F20" s="1"/>
      <c r="G20" s="1"/>
      <c r="H20" s="1"/>
      <c r="I20" s="1"/>
      <c r="J20" s="1"/>
      <c r="K20" s="161"/>
      <c r="L20" s="161"/>
    </row>
    <row r="21" spans="1:12">
      <c r="A21" s="1"/>
      <c r="B21" s="161"/>
      <c r="C21" s="161"/>
      <c r="D21" s="1"/>
      <c r="E21" s="1"/>
      <c r="F21" s="1"/>
      <c r="G21" s="1"/>
      <c r="H21" s="1"/>
      <c r="I21" s="1"/>
      <c r="J21" s="1"/>
      <c r="K21" s="161"/>
      <c r="L21" s="161"/>
    </row>
    <row r="22" spans="1:12">
      <c r="A22" s="1"/>
      <c r="B22" s="161"/>
      <c r="C22" s="161"/>
      <c r="D22" s="1"/>
      <c r="E22" s="1"/>
      <c r="F22" s="1"/>
      <c r="G22" s="1"/>
      <c r="H22" s="1"/>
      <c r="I22" s="1"/>
      <c r="J22" s="1"/>
      <c r="K22" s="161"/>
      <c r="L22" s="161"/>
    </row>
    <row r="23" spans="1:12">
      <c r="A23" s="1"/>
      <c r="B23" s="161"/>
      <c r="C23" s="161"/>
      <c r="D23" s="1"/>
      <c r="E23" s="1"/>
      <c r="F23" s="1"/>
      <c r="G23" s="1"/>
      <c r="H23" s="1"/>
      <c r="I23" s="1"/>
      <c r="J23" s="1"/>
      <c r="K23" s="161"/>
      <c r="L23" s="161"/>
    </row>
    <row r="24" spans="1:12">
      <c r="A24" s="1"/>
      <c r="B24" s="161"/>
      <c r="C24" s="161"/>
      <c r="D24" s="1"/>
      <c r="E24" s="1"/>
      <c r="F24" s="1"/>
      <c r="G24" s="1"/>
      <c r="H24" s="1"/>
      <c r="I24" s="1"/>
      <c r="J24" s="1"/>
      <c r="K24" s="161"/>
      <c r="L24" s="161"/>
    </row>
    <row r="25" spans="1:12">
      <c r="A25" s="1"/>
      <c r="B25" s="161"/>
      <c r="C25" s="161"/>
      <c r="D25" s="1"/>
      <c r="E25" s="1"/>
      <c r="F25" s="1"/>
      <c r="G25" s="1"/>
      <c r="H25" s="1"/>
      <c r="I25" s="1"/>
      <c r="J25" s="1"/>
      <c r="K25" s="161"/>
      <c r="L25" s="161"/>
    </row>
    <row r="26" spans="1:12">
      <c r="A26" s="1"/>
      <c r="B26" s="161"/>
      <c r="C26" s="161"/>
      <c r="D26" s="1"/>
      <c r="E26" s="1"/>
      <c r="F26" s="1"/>
      <c r="G26" s="1"/>
      <c r="H26" s="1"/>
      <c r="I26" s="1"/>
      <c r="J26" s="1"/>
      <c r="K26" s="161"/>
      <c r="L26" s="161"/>
    </row>
    <row r="27" spans="1:12">
      <c r="A27" s="1"/>
      <c r="B27" s="161"/>
      <c r="C27" s="161"/>
      <c r="D27" s="1"/>
      <c r="E27" s="1"/>
      <c r="F27" s="1"/>
      <c r="G27" s="1"/>
      <c r="H27" s="1"/>
      <c r="I27" s="1"/>
      <c r="J27" s="1"/>
      <c r="K27" s="161"/>
      <c r="L27" s="161"/>
    </row>
    <row r="28" spans="1:12">
      <c r="A28" s="1"/>
      <c r="B28" s="161"/>
      <c r="C28" s="161"/>
      <c r="D28" s="1"/>
      <c r="E28" s="1"/>
      <c r="F28" s="1"/>
      <c r="G28" s="1"/>
      <c r="H28" s="1"/>
      <c r="I28" s="1"/>
      <c r="J28" s="1"/>
      <c r="K28" s="161"/>
      <c r="L28" s="161"/>
    </row>
    <row r="29" spans="1:12">
      <c r="A29" s="1"/>
      <c r="B29" s="161"/>
      <c r="C29" s="161"/>
      <c r="D29" s="1"/>
      <c r="E29" s="1"/>
      <c r="F29" s="1"/>
      <c r="G29" s="1"/>
      <c r="H29" s="1"/>
      <c r="I29" s="1"/>
      <c r="J29" s="1"/>
      <c r="K29" s="161"/>
      <c r="L29" s="161"/>
    </row>
    <row r="30" spans="1:12">
      <c r="A30" s="1"/>
      <c r="B30" s="161"/>
      <c r="C30" s="161"/>
      <c r="D30" s="1"/>
      <c r="E30" s="1"/>
      <c r="F30" s="1"/>
      <c r="G30" s="1"/>
      <c r="H30" s="1"/>
      <c r="I30" s="1"/>
      <c r="J30" s="1"/>
      <c r="K30" s="161"/>
      <c r="L30" s="161"/>
    </row>
    <row r="31" spans="1:12">
      <c r="A31" s="1"/>
      <c r="B31" s="161"/>
      <c r="C31" s="161"/>
      <c r="D31" s="1"/>
      <c r="E31" s="1"/>
      <c r="F31" s="1"/>
      <c r="G31" s="1"/>
      <c r="H31" s="1"/>
      <c r="I31" s="1"/>
      <c r="J31" s="1"/>
      <c r="K31" s="161"/>
      <c r="L31" s="161"/>
    </row>
    <row r="32" spans="1:12">
      <c r="A32" s="1"/>
      <c r="B32" s="161"/>
      <c r="C32" s="161"/>
      <c r="D32" s="1"/>
      <c r="E32" s="1"/>
      <c r="F32" s="1"/>
      <c r="G32" s="1"/>
      <c r="H32" s="1"/>
      <c r="I32" s="1"/>
      <c r="J32" s="1"/>
      <c r="K32" s="161"/>
      <c r="L32" s="161"/>
    </row>
    <row r="33" spans="1:12">
      <c r="A33" s="1"/>
      <c r="B33" s="161"/>
      <c r="C33" s="161"/>
      <c r="D33" s="1"/>
      <c r="E33" s="1"/>
      <c r="F33" s="1"/>
      <c r="G33" s="1"/>
      <c r="H33" s="1"/>
      <c r="I33" s="1"/>
      <c r="J33" s="1"/>
      <c r="K33" s="161"/>
      <c r="L33" s="161"/>
    </row>
    <row r="34" spans="1:12">
      <c r="A34" s="1"/>
      <c r="B34" s="161"/>
      <c r="C34" s="161"/>
      <c r="D34" s="1"/>
      <c r="E34" s="1"/>
      <c r="F34" s="1"/>
      <c r="G34" s="1"/>
      <c r="H34" s="1"/>
      <c r="I34" s="1"/>
      <c r="J34" s="1"/>
      <c r="K34" s="161"/>
      <c r="L34" s="161"/>
    </row>
    <row r="35" spans="1:12">
      <c r="A35" s="1"/>
      <c r="B35" s="161"/>
      <c r="C35" s="161"/>
      <c r="D35" s="1"/>
      <c r="E35" s="1"/>
      <c r="F35" s="1"/>
      <c r="G35" s="1"/>
      <c r="H35" s="1"/>
      <c r="I35" s="1"/>
      <c r="J35" s="1"/>
      <c r="K35" s="161"/>
      <c r="L35" s="161"/>
    </row>
    <row r="36" spans="1:12">
      <c r="A36" s="1"/>
      <c r="B36" s="161"/>
      <c r="C36" s="161"/>
      <c r="D36" s="1"/>
      <c r="E36" s="1"/>
      <c r="F36" s="1"/>
      <c r="G36" s="1"/>
      <c r="H36" s="1"/>
      <c r="I36" s="1"/>
      <c r="J36" s="1"/>
      <c r="K36" s="161"/>
      <c r="L36" s="161"/>
    </row>
    <row r="37" spans="1:12">
      <c r="A37" s="1"/>
      <c r="B37" s="161"/>
      <c r="C37" s="161"/>
      <c r="D37" s="1"/>
      <c r="E37" s="1"/>
      <c r="F37" s="1"/>
      <c r="G37" s="1"/>
      <c r="H37" s="1"/>
      <c r="I37" s="1"/>
      <c r="J37" s="1"/>
      <c r="K37" s="161"/>
      <c r="L37" s="161"/>
    </row>
    <row r="38" spans="1:12">
      <c r="A38" s="1"/>
      <c r="B38" s="161"/>
      <c r="C38" s="161"/>
      <c r="D38" s="1"/>
      <c r="E38" s="1"/>
      <c r="F38" s="1"/>
      <c r="G38" s="1"/>
      <c r="H38" s="1"/>
      <c r="I38" s="1"/>
      <c r="J38" s="1"/>
      <c r="K38" s="161"/>
      <c r="L38" s="161"/>
    </row>
    <row r="39" spans="1:12">
      <c r="A39" s="1"/>
      <c r="B39" s="161"/>
      <c r="C39" s="161"/>
      <c r="D39" s="1"/>
      <c r="E39" s="1"/>
      <c r="F39" s="1"/>
      <c r="G39" s="1"/>
      <c r="H39" s="1"/>
      <c r="I39" s="1"/>
      <c r="J39" s="1"/>
      <c r="K39" s="161"/>
      <c r="L39" s="161"/>
    </row>
    <row r="40" spans="1:12">
      <c r="A40" s="1"/>
      <c r="B40" s="161"/>
      <c r="C40" s="161"/>
      <c r="D40" s="1"/>
      <c r="E40" s="1"/>
      <c r="F40" s="1"/>
      <c r="G40" s="1"/>
      <c r="H40" s="1"/>
      <c r="I40" s="1"/>
      <c r="J40" s="1"/>
      <c r="K40" s="161"/>
      <c r="L40" s="161"/>
    </row>
    <row r="41" spans="1:12">
      <c r="A41" s="1"/>
      <c r="B41" s="161"/>
      <c r="C41" s="161"/>
      <c r="D41" s="1"/>
      <c r="E41" s="1"/>
      <c r="F41" s="1"/>
      <c r="G41" s="1"/>
      <c r="H41" s="1"/>
      <c r="I41" s="1"/>
      <c r="J41" s="1"/>
      <c r="K41" s="161"/>
      <c r="L41" s="161"/>
    </row>
    <row r="42" spans="1:12">
      <c r="A42" s="1"/>
      <c r="B42" s="161"/>
      <c r="C42" s="161"/>
      <c r="D42" s="1"/>
      <c r="E42" s="1"/>
      <c r="F42" s="1"/>
      <c r="G42" s="1"/>
      <c r="H42" s="1"/>
      <c r="I42" s="1"/>
      <c r="J42" s="1"/>
      <c r="K42" s="161"/>
      <c r="L42" s="161"/>
    </row>
    <row r="43" spans="1:12">
      <c r="A43" s="1"/>
      <c r="B43" s="161"/>
      <c r="C43" s="161"/>
      <c r="D43" s="1"/>
      <c r="E43" s="1"/>
      <c r="F43" s="1"/>
      <c r="G43" s="1"/>
      <c r="H43" s="1"/>
      <c r="I43" s="1"/>
      <c r="J43" s="1"/>
      <c r="K43" s="161"/>
      <c r="L43" s="161"/>
    </row>
    <row r="44" spans="1:12">
      <c r="A44" s="1"/>
      <c r="B44" s="161"/>
      <c r="C44" s="161"/>
      <c r="D44" s="1"/>
      <c r="E44" s="1"/>
      <c r="F44" s="1"/>
      <c r="G44" s="1"/>
      <c r="H44" s="1"/>
      <c r="I44" s="1"/>
      <c r="J44" s="1"/>
      <c r="K44" s="161"/>
      <c r="L44" s="161"/>
    </row>
    <row r="45" spans="1:12">
      <c r="A45" s="1"/>
      <c r="B45" s="161"/>
      <c r="C45" s="161"/>
      <c r="D45" s="1"/>
      <c r="E45" s="1"/>
      <c r="F45" s="1"/>
      <c r="G45" s="1"/>
      <c r="H45" s="1"/>
      <c r="I45" s="1"/>
      <c r="J45" s="1"/>
      <c r="K45" s="161"/>
      <c r="L45" s="161"/>
    </row>
    <row r="46" spans="1:12">
      <c r="A46" s="1"/>
      <c r="B46" s="161"/>
      <c r="C46" s="161"/>
      <c r="D46" s="1"/>
      <c r="E46" s="1"/>
      <c r="F46" s="1"/>
      <c r="G46" s="1"/>
      <c r="H46" s="1"/>
      <c r="I46" s="1"/>
      <c r="J46" s="1"/>
      <c r="K46" s="161"/>
      <c r="L46" s="161"/>
    </row>
    <row r="47" spans="1:12">
      <c r="A47" s="1"/>
      <c r="B47" s="161"/>
      <c r="C47" s="161"/>
      <c r="D47" s="1"/>
      <c r="E47" s="1"/>
      <c r="F47" s="1"/>
      <c r="G47" s="1"/>
      <c r="H47" s="1"/>
      <c r="I47" s="1"/>
      <c r="J47" s="1"/>
      <c r="K47" s="161"/>
      <c r="L47" s="161"/>
    </row>
    <row r="48" spans="1:12">
      <c r="A48" s="1"/>
      <c r="B48" s="161"/>
      <c r="C48" s="161"/>
      <c r="D48" s="1"/>
      <c r="E48" s="1"/>
      <c r="F48" s="1"/>
      <c r="G48" s="1"/>
      <c r="H48" s="1"/>
      <c r="I48" s="1"/>
      <c r="J48" s="1"/>
      <c r="K48" s="161"/>
      <c r="L48" s="161"/>
    </row>
    <row r="49" spans="1:12">
      <c r="A49" s="1"/>
      <c r="B49" s="161"/>
      <c r="C49" s="161"/>
      <c r="D49" s="1"/>
      <c r="E49" s="1"/>
      <c r="F49" s="1"/>
      <c r="G49" s="1"/>
      <c r="H49" s="1"/>
      <c r="I49" s="1"/>
      <c r="J49" s="1"/>
      <c r="K49" s="161"/>
      <c r="L49" s="161"/>
    </row>
    <row r="50" spans="1:12">
      <c r="A50" s="1"/>
      <c r="B50" s="161"/>
      <c r="C50" s="161"/>
      <c r="D50" s="1"/>
      <c r="E50" s="1"/>
      <c r="F50" s="1"/>
      <c r="G50" s="1"/>
      <c r="H50" s="1"/>
      <c r="I50" s="1"/>
      <c r="J50" s="1"/>
      <c r="K50" s="161"/>
      <c r="L50" s="161"/>
    </row>
    <row r="51" spans="1:12">
      <c r="A51" s="1"/>
      <c r="B51" s="161"/>
      <c r="C51" s="161"/>
      <c r="D51" s="1"/>
      <c r="E51" s="1"/>
      <c r="F51" s="1"/>
      <c r="G51" s="1"/>
      <c r="H51" s="1"/>
      <c r="I51" s="1"/>
      <c r="J51" s="1"/>
      <c r="K51" s="161"/>
      <c r="L51" s="161"/>
    </row>
    <row r="52" spans="1:12">
      <c r="A52" s="1"/>
      <c r="B52" s="161"/>
      <c r="C52" s="161"/>
      <c r="D52" s="1"/>
      <c r="E52" s="1"/>
      <c r="F52" s="1"/>
      <c r="G52" s="1"/>
      <c r="H52" s="1"/>
      <c r="I52" s="1"/>
      <c r="J52" s="1"/>
      <c r="K52" s="161"/>
      <c r="L52" s="161"/>
    </row>
    <row r="53" spans="1:12">
      <c r="A53" s="1"/>
      <c r="B53" s="161"/>
      <c r="C53" s="161"/>
      <c r="D53" s="1"/>
      <c r="E53" s="1"/>
      <c r="F53" s="1"/>
      <c r="G53" s="1"/>
      <c r="H53" s="1"/>
      <c r="I53" s="1"/>
      <c r="J53" s="1"/>
      <c r="K53" s="161"/>
      <c r="L53" s="161"/>
    </row>
    <row r="54" spans="1:12">
      <c r="A54" s="1"/>
      <c r="B54" s="161"/>
      <c r="C54" s="161"/>
      <c r="D54" s="1"/>
      <c r="E54" s="1"/>
      <c r="F54" s="1"/>
      <c r="G54" s="1"/>
      <c r="H54" s="1"/>
      <c r="I54" s="1"/>
      <c r="J54" s="1"/>
      <c r="K54" s="161"/>
      <c r="L54" s="161"/>
    </row>
    <row r="55" spans="1:12">
      <c r="A55" s="1"/>
      <c r="B55" s="161"/>
      <c r="C55" s="161"/>
      <c r="D55" s="1"/>
      <c r="E55" s="1"/>
      <c r="F55" s="1"/>
      <c r="G55" s="1"/>
      <c r="H55" s="1"/>
      <c r="I55" s="1"/>
      <c r="J55" s="1"/>
      <c r="K55" s="161"/>
      <c r="L55" s="161"/>
    </row>
    <row r="56" spans="1:12">
      <c r="A56" s="1"/>
      <c r="B56" s="161"/>
      <c r="C56" s="161"/>
      <c r="D56" s="1"/>
      <c r="E56" s="1"/>
      <c r="F56" s="1"/>
      <c r="G56" s="1"/>
      <c r="H56" s="1"/>
      <c r="I56" s="1"/>
      <c r="J56" s="1"/>
      <c r="K56" s="161"/>
      <c r="L56" s="161"/>
    </row>
    <row r="57" spans="1:12">
      <c r="A57" s="1"/>
      <c r="B57" s="161"/>
      <c r="C57" s="161"/>
      <c r="D57" s="1"/>
      <c r="E57" s="1"/>
      <c r="F57" s="1"/>
      <c r="G57" s="1"/>
      <c r="H57" s="1"/>
      <c r="I57" s="1"/>
      <c r="J57" s="1"/>
      <c r="K57" s="161"/>
      <c r="L57" s="161"/>
    </row>
    <row r="58" spans="1:12">
      <c r="A58" s="1"/>
      <c r="B58" s="161"/>
      <c r="C58" s="161"/>
      <c r="D58" s="1"/>
      <c r="E58" s="1"/>
      <c r="F58" s="1"/>
      <c r="G58" s="1"/>
      <c r="H58" s="1"/>
      <c r="I58" s="1"/>
      <c r="J58" s="1"/>
      <c r="K58" s="161"/>
      <c r="L58" s="161"/>
    </row>
    <row r="59" spans="1:12">
      <c r="A59" s="1"/>
      <c r="B59" s="161"/>
      <c r="C59" s="161"/>
      <c r="D59" s="1"/>
      <c r="E59" s="1"/>
      <c r="F59" s="1"/>
      <c r="G59" s="1"/>
      <c r="H59" s="1"/>
      <c r="I59" s="1"/>
      <c r="J59" s="1"/>
      <c r="K59" s="161"/>
      <c r="L59" s="161"/>
    </row>
    <row r="60" spans="1:12">
      <c r="A60" s="1"/>
      <c r="B60" s="161"/>
      <c r="C60" s="161"/>
      <c r="D60" s="1"/>
      <c r="E60" s="1"/>
      <c r="F60" s="1"/>
      <c r="G60" s="1"/>
      <c r="H60" s="1"/>
      <c r="I60" s="1"/>
      <c r="J60" s="1"/>
      <c r="K60" s="161"/>
      <c r="L60" s="161"/>
    </row>
  </sheetData>
  <dataConsolidate/>
  <mergeCells count="1">
    <mergeCell ref="A1:L1"/>
  </mergeCells>
  <phoneticPr fontId="2" type="noConversion"/>
  <conditionalFormatting sqref="J2">
    <cfRule type="cellIs" dxfId="3" priority="1" operator="equal">
      <formula>39</formula>
    </cfRule>
    <cfRule type="cellIs" dxfId="2" priority="2" operator="equal">
      <formula>38</formula>
    </cfRule>
  </conditionalFormatting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240"/>
  <sheetViews>
    <sheetView workbookViewId="0">
      <selection activeCell="E24" sqref="A11:E24"/>
    </sheetView>
  </sheetViews>
  <sheetFormatPr defaultRowHeight="13.5"/>
  <cols>
    <col min="1" max="1" width="12.625" customWidth="1"/>
    <col min="2" max="2" width="18.375" bestFit="1" customWidth="1"/>
    <col min="3" max="3" width="12.75" bestFit="1" customWidth="1"/>
    <col min="4" max="4" width="20.5" bestFit="1" customWidth="1"/>
    <col min="5" max="5" width="15" bestFit="1" customWidth="1"/>
  </cols>
  <sheetData>
    <row r="1" spans="1:6">
      <c r="A1" s="83" t="s">
        <v>260</v>
      </c>
      <c r="B1" s="83" t="s">
        <v>261</v>
      </c>
      <c r="C1" s="83" t="s">
        <v>0</v>
      </c>
      <c r="D1" s="83" t="s">
        <v>268</v>
      </c>
      <c r="E1" s="83" t="s">
        <v>269</v>
      </c>
      <c r="F1" s="154" t="s">
        <v>270</v>
      </c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>
      <c r="A5" s="1"/>
      <c r="B5" s="1"/>
      <c r="C5" s="1"/>
      <c r="D5" s="1"/>
      <c r="E5" s="1"/>
      <c r="F5" s="1"/>
    </row>
    <row r="6" spans="1:6">
      <c r="A6" s="1"/>
      <c r="B6" s="1"/>
      <c r="C6" s="1"/>
      <c r="D6" s="1"/>
      <c r="E6" s="1"/>
      <c r="F6" s="1"/>
    </row>
    <row r="7" spans="1:6">
      <c r="A7" s="1"/>
      <c r="B7" s="1"/>
      <c r="C7" s="1"/>
      <c r="D7" s="1"/>
      <c r="E7" s="1"/>
      <c r="F7" s="1"/>
    </row>
    <row r="8" spans="1:6">
      <c r="A8" s="1"/>
      <c r="B8" s="1"/>
      <c r="C8" s="1"/>
      <c r="D8" s="1"/>
      <c r="E8" s="1"/>
      <c r="F8" s="1"/>
    </row>
    <row r="9" spans="1:6">
      <c r="A9" s="1"/>
      <c r="B9" s="1"/>
      <c r="C9" s="1"/>
      <c r="D9" s="1"/>
      <c r="E9" s="1"/>
      <c r="F9" s="1"/>
    </row>
    <row r="10" spans="1:6">
      <c r="A10" s="1"/>
      <c r="B10" s="1"/>
      <c r="C10" s="1"/>
      <c r="D10" s="1"/>
      <c r="E10" s="1"/>
      <c r="F10" s="1"/>
    </row>
    <row r="11" spans="1:6">
      <c r="A11" s="1"/>
      <c r="B11" s="1"/>
      <c r="C11" s="1"/>
      <c r="D11" s="1"/>
      <c r="E11" s="1"/>
      <c r="F11" s="1"/>
    </row>
    <row r="12" spans="1:6">
      <c r="A12" s="1"/>
      <c r="B12" s="1"/>
      <c r="C12" s="1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"/>
      <c r="B15" s="1"/>
      <c r="C15" s="1"/>
      <c r="D15" s="1"/>
      <c r="E15" s="1"/>
      <c r="F15" s="1"/>
    </row>
    <row r="16" spans="1:6">
      <c r="A16" s="1"/>
      <c r="B16" s="1"/>
      <c r="C16" s="1"/>
      <c r="D16" s="1"/>
      <c r="E16" s="1"/>
      <c r="F16" s="1"/>
    </row>
    <row r="17" spans="1:6">
      <c r="A17" s="1"/>
      <c r="B17" s="1"/>
      <c r="C17" s="1"/>
      <c r="D17" s="1"/>
      <c r="E17" s="1"/>
      <c r="F17" s="1"/>
    </row>
    <row r="18" spans="1:6">
      <c r="A18" s="1"/>
      <c r="B18" s="1"/>
      <c r="C18" s="1"/>
      <c r="D18" s="1"/>
      <c r="E18" s="1"/>
      <c r="F18" s="1"/>
    </row>
    <row r="19" spans="1:6">
      <c r="A19" s="1"/>
      <c r="B19" s="1"/>
      <c r="C19" s="1"/>
      <c r="D19" s="1"/>
      <c r="E19" s="1"/>
      <c r="F19" s="1"/>
    </row>
    <row r="20" spans="1:6">
      <c r="A20" s="1"/>
      <c r="B20" s="1"/>
      <c r="C20" s="1"/>
      <c r="D20" s="1"/>
      <c r="E20" s="1"/>
      <c r="F20" s="1"/>
    </row>
    <row r="21" spans="1:6">
      <c r="A21" s="1"/>
      <c r="B21" s="1"/>
      <c r="C21" s="1"/>
      <c r="D21" s="1"/>
      <c r="E21" s="1"/>
      <c r="F21" s="1"/>
    </row>
    <row r="22" spans="1:6">
      <c r="A22" s="1"/>
      <c r="B22" s="1"/>
      <c r="C22" s="1"/>
      <c r="D22" s="1"/>
      <c r="E22" s="1"/>
      <c r="F22" s="1"/>
    </row>
    <row r="23" spans="1:6">
      <c r="A23" s="1"/>
      <c r="B23" s="1"/>
      <c r="C23" s="1"/>
      <c r="D23" s="1"/>
      <c r="E23" s="1"/>
      <c r="F23" s="1"/>
    </row>
    <row r="24" spans="1:6">
      <c r="A24" s="1"/>
      <c r="B24" s="1"/>
      <c r="C24" s="1"/>
      <c r="D24" s="1"/>
      <c r="E24" s="1"/>
      <c r="F24" s="1"/>
    </row>
    <row r="25" spans="1:6">
      <c r="A25" s="1"/>
      <c r="B25" s="1"/>
      <c r="C25" s="1"/>
      <c r="D25" s="1"/>
      <c r="E25" s="1"/>
      <c r="F25" s="1"/>
    </row>
    <row r="26" spans="1:6">
      <c r="A26" s="1"/>
      <c r="B26" s="1"/>
      <c r="C26" s="1"/>
      <c r="D26" s="1"/>
      <c r="E26" s="1"/>
      <c r="F26" s="1"/>
    </row>
    <row r="27" spans="1:6">
      <c r="A27" s="1"/>
      <c r="B27" s="1"/>
      <c r="C27" s="1"/>
      <c r="D27" s="1"/>
      <c r="E27" s="1"/>
      <c r="F27" s="1"/>
    </row>
    <row r="28" spans="1:6">
      <c r="A28" s="1"/>
      <c r="B28" s="1"/>
      <c r="C28" s="1"/>
      <c r="D28" s="1"/>
      <c r="E28" s="1"/>
      <c r="F28" s="1"/>
    </row>
    <row r="29" spans="1:6">
      <c r="A29" s="1"/>
      <c r="B29" s="1"/>
      <c r="C29" s="1"/>
      <c r="D29" s="1"/>
      <c r="E29" s="1"/>
      <c r="F29" s="1"/>
    </row>
    <row r="30" spans="1:6">
      <c r="A30" s="1"/>
      <c r="B30" s="1"/>
      <c r="C30" s="1"/>
      <c r="D30" s="1"/>
      <c r="E30" s="1"/>
      <c r="F30" s="1"/>
    </row>
    <row r="31" spans="1:6">
      <c r="A31" s="1"/>
      <c r="B31" s="1"/>
      <c r="C31" s="1"/>
      <c r="D31" s="1"/>
      <c r="E31" s="1"/>
      <c r="F31" s="1"/>
    </row>
    <row r="32" spans="1:6">
      <c r="A32" s="1"/>
      <c r="B32" s="1"/>
      <c r="C32" s="1"/>
      <c r="D32" s="1"/>
      <c r="E32" s="1"/>
      <c r="F32" s="1"/>
    </row>
    <row r="33" spans="1:6">
      <c r="A33" s="1"/>
      <c r="B33" s="1"/>
      <c r="C33" s="1"/>
      <c r="D33" s="1"/>
      <c r="E33" s="1"/>
      <c r="F33" s="1"/>
    </row>
    <row r="34" spans="1:6">
      <c r="A34" s="1"/>
      <c r="B34" s="1"/>
      <c r="C34" s="1"/>
      <c r="D34" s="1"/>
      <c r="E34" s="1"/>
      <c r="F34" s="1"/>
    </row>
    <row r="35" spans="1:6">
      <c r="A35" s="1"/>
      <c r="B35" s="1"/>
      <c r="C35" s="1"/>
      <c r="D35" s="1"/>
      <c r="E35" s="1"/>
      <c r="F35" s="1"/>
    </row>
    <row r="36" spans="1:6">
      <c r="A36" s="1"/>
      <c r="B36" s="1"/>
      <c r="C36" s="1"/>
      <c r="D36" s="1"/>
      <c r="E36" s="1"/>
      <c r="F36" s="1"/>
    </row>
    <row r="37" spans="1:6">
      <c r="A37" s="1"/>
      <c r="B37" s="1"/>
      <c r="C37" s="1"/>
      <c r="D37" s="1"/>
      <c r="E37" s="1"/>
      <c r="F37" s="1"/>
    </row>
    <row r="38" spans="1:6">
      <c r="A38" s="1"/>
      <c r="B38" s="1"/>
      <c r="C38" s="1"/>
      <c r="D38" s="1"/>
      <c r="E38" s="1"/>
      <c r="F38" s="1"/>
    </row>
    <row r="39" spans="1:6">
      <c r="A39" s="1"/>
      <c r="B39" s="1"/>
      <c r="C39" s="1"/>
      <c r="D39" s="1"/>
      <c r="E39" s="1"/>
      <c r="F39" s="1"/>
    </row>
    <row r="40" spans="1:6">
      <c r="A40" s="1"/>
      <c r="B40" s="1"/>
      <c r="C40" s="1"/>
      <c r="D40" s="1"/>
      <c r="E40" s="1"/>
      <c r="F40" s="1"/>
    </row>
    <row r="41" spans="1:6">
      <c r="A41" s="1"/>
      <c r="B41" s="1"/>
      <c r="C41" s="1"/>
      <c r="D41" s="1"/>
      <c r="E41" s="1"/>
      <c r="F41" s="1"/>
    </row>
    <row r="42" spans="1:6">
      <c r="A42" s="1"/>
      <c r="B42" s="1"/>
      <c r="C42" s="1"/>
      <c r="D42" s="1"/>
      <c r="E42" s="1"/>
      <c r="F42" s="1"/>
    </row>
    <row r="43" spans="1:6">
      <c r="A43" s="1"/>
      <c r="B43" s="1"/>
      <c r="C43" s="1"/>
      <c r="D43" s="1"/>
      <c r="E43" s="1"/>
      <c r="F43" s="1"/>
    </row>
    <row r="44" spans="1:6">
      <c r="A44" s="1"/>
      <c r="B44" s="1"/>
      <c r="C44" s="1"/>
      <c r="D44" s="1"/>
      <c r="E44" s="1"/>
      <c r="F44" s="1"/>
    </row>
    <row r="45" spans="1:6">
      <c r="A45" s="1"/>
      <c r="B45" s="1"/>
      <c r="C45" s="1"/>
      <c r="D45" s="1"/>
      <c r="E45" s="1"/>
      <c r="F45" s="1"/>
    </row>
    <row r="46" spans="1:6">
      <c r="A46" s="1"/>
      <c r="B46" s="1"/>
      <c r="C46" s="1"/>
      <c r="D46" s="1"/>
      <c r="E46" s="1"/>
      <c r="F46" s="1"/>
    </row>
    <row r="47" spans="1:6">
      <c r="A47" s="1"/>
      <c r="B47" s="1"/>
      <c r="C47" s="1"/>
      <c r="D47" s="1"/>
      <c r="E47" s="1"/>
      <c r="F47" s="1"/>
    </row>
    <row r="48" spans="1:6">
      <c r="A48" s="1"/>
      <c r="B48" s="1"/>
      <c r="C48" s="1"/>
      <c r="D48" s="1"/>
      <c r="E48" s="1"/>
      <c r="F48" s="1"/>
    </row>
    <row r="49" spans="1:6">
      <c r="A49" s="1"/>
      <c r="B49" s="1"/>
      <c r="C49" s="1"/>
      <c r="D49" s="1"/>
      <c r="E49" s="1"/>
      <c r="F49" s="1"/>
    </row>
    <row r="50" spans="1:6">
      <c r="A50" s="1"/>
      <c r="B50" s="1"/>
      <c r="C50" s="1"/>
      <c r="D50" s="1"/>
      <c r="E50" s="1"/>
      <c r="F50" s="1"/>
    </row>
    <row r="51" spans="1:6">
      <c r="A51" s="1"/>
      <c r="B51" s="1"/>
      <c r="C51" s="1"/>
      <c r="D51" s="1"/>
      <c r="E51" s="1"/>
      <c r="F51" s="1"/>
    </row>
    <row r="52" spans="1:6">
      <c r="A52" s="1"/>
      <c r="B52" s="1"/>
      <c r="C52" s="1"/>
      <c r="D52" s="1"/>
      <c r="E52" s="1"/>
      <c r="F52" s="1"/>
    </row>
    <row r="53" spans="1:6">
      <c r="A53" s="1"/>
      <c r="B53" s="1"/>
      <c r="C53" s="1"/>
      <c r="D53" s="1"/>
      <c r="E53" s="1"/>
      <c r="F53" s="1"/>
    </row>
    <row r="54" spans="1:6">
      <c r="A54" s="1"/>
      <c r="B54" s="1"/>
      <c r="C54" s="1"/>
      <c r="D54" s="1"/>
      <c r="E54" s="1"/>
      <c r="F54" s="1"/>
    </row>
    <row r="55" spans="1:6">
      <c r="A55" s="1"/>
      <c r="B55" s="1"/>
      <c r="C55" s="1"/>
      <c r="D55" s="1"/>
      <c r="E55" s="1"/>
      <c r="F55" s="1"/>
    </row>
    <row r="56" spans="1:6">
      <c r="A56" s="1"/>
      <c r="B56" s="1"/>
      <c r="C56" s="1"/>
      <c r="D56" s="1"/>
      <c r="E56" s="1"/>
      <c r="F56" s="1"/>
    </row>
    <row r="57" spans="1:6">
      <c r="A57" s="1"/>
      <c r="B57" s="1"/>
      <c r="C57" s="1"/>
      <c r="D57" s="1"/>
      <c r="E57" s="1"/>
      <c r="F57" s="1"/>
    </row>
    <row r="58" spans="1:6">
      <c r="A58" s="1"/>
      <c r="B58" s="1"/>
      <c r="C58" s="1"/>
      <c r="D58" s="1"/>
      <c r="E58" s="1"/>
      <c r="F58" s="1"/>
    </row>
    <row r="59" spans="1:6">
      <c r="A59" s="1"/>
      <c r="B59" s="1"/>
      <c r="C59" s="1"/>
      <c r="D59" s="1"/>
      <c r="E59" s="1"/>
      <c r="F59" s="1"/>
    </row>
    <row r="60" spans="1:6">
      <c r="A60" s="1"/>
      <c r="B60" s="1"/>
      <c r="C60" s="1"/>
      <c r="D60" s="1"/>
      <c r="E60" s="1"/>
      <c r="F60" s="1"/>
    </row>
    <row r="61" spans="1:6">
      <c r="A61" s="1"/>
      <c r="B61" s="1"/>
      <c r="C61" s="1"/>
      <c r="D61" s="1"/>
      <c r="E61" s="1"/>
      <c r="F61" s="1"/>
    </row>
    <row r="62" spans="1:6">
      <c r="A62" s="1"/>
      <c r="B62" s="1"/>
      <c r="C62" s="1"/>
      <c r="D62" s="1"/>
      <c r="E62" s="1"/>
      <c r="F62" s="1"/>
    </row>
    <row r="63" spans="1:6">
      <c r="A63" s="1"/>
      <c r="B63" s="1"/>
      <c r="C63" s="1"/>
      <c r="D63" s="1"/>
      <c r="E63" s="1"/>
      <c r="F63" s="1"/>
    </row>
    <row r="64" spans="1:6">
      <c r="A64" s="1"/>
      <c r="B64" s="1"/>
      <c r="C64" s="1"/>
      <c r="D64" s="1"/>
      <c r="E64" s="1"/>
      <c r="F64" s="1"/>
    </row>
    <row r="65" spans="1:6">
      <c r="A65" s="1"/>
      <c r="B65" s="1"/>
      <c r="C65" s="1"/>
      <c r="D65" s="1"/>
      <c r="E65" s="1"/>
      <c r="F65" s="1"/>
    </row>
    <row r="66" spans="1:6">
      <c r="A66" s="1"/>
      <c r="B66" s="1"/>
      <c r="C66" s="1"/>
      <c r="D66" s="1"/>
      <c r="E66" s="1"/>
      <c r="F66" s="1"/>
    </row>
    <row r="67" spans="1:6">
      <c r="A67" s="1"/>
      <c r="B67" s="1"/>
      <c r="C67" s="1"/>
      <c r="D67" s="1"/>
      <c r="E67" s="1"/>
      <c r="F67" s="1"/>
    </row>
    <row r="68" spans="1:6">
      <c r="A68" s="1"/>
      <c r="B68" s="1"/>
      <c r="C68" s="1"/>
      <c r="D68" s="1"/>
      <c r="E68" s="1"/>
      <c r="F68" s="1"/>
    </row>
    <row r="69" spans="1:6">
      <c r="A69" s="1"/>
      <c r="B69" s="1"/>
      <c r="C69" s="1"/>
      <c r="D69" s="1"/>
      <c r="E69" s="1"/>
      <c r="F69" s="1"/>
    </row>
    <row r="70" spans="1:6">
      <c r="A70" s="1"/>
      <c r="B70" s="1"/>
      <c r="C70" s="1"/>
      <c r="D70" s="1"/>
      <c r="E70" s="1"/>
      <c r="F70" s="1"/>
    </row>
    <row r="71" spans="1:6">
      <c r="A71" s="1"/>
      <c r="B71" s="1"/>
      <c r="C71" s="1"/>
      <c r="D71" s="1"/>
      <c r="E71" s="1"/>
      <c r="F71" s="1"/>
    </row>
    <row r="72" spans="1:6">
      <c r="A72" s="1"/>
      <c r="B72" s="1"/>
      <c r="C72" s="1"/>
      <c r="D72" s="1"/>
      <c r="E72" s="1"/>
      <c r="F72" s="1"/>
    </row>
    <row r="73" spans="1:6">
      <c r="A73" s="1"/>
      <c r="B73" s="1"/>
      <c r="C73" s="1"/>
      <c r="D73" s="1"/>
      <c r="E73" s="1"/>
      <c r="F73" s="1"/>
    </row>
    <row r="74" spans="1:6">
      <c r="A74" s="1"/>
      <c r="B74" s="1"/>
      <c r="C74" s="1"/>
      <c r="D74" s="1"/>
      <c r="E74" s="1"/>
      <c r="F74" s="1"/>
    </row>
    <row r="75" spans="1:6">
      <c r="A75" s="1"/>
      <c r="B75" s="1"/>
      <c r="C75" s="1"/>
      <c r="D75" s="1"/>
      <c r="E75" s="1"/>
      <c r="F75" s="1"/>
    </row>
    <row r="76" spans="1:6">
      <c r="A76" s="1"/>
      <c r="B76" s="1"/>
      <c r="C76" s="1"/>
      <c r="D76" s="1"/>
      <c r="E76" s="1"/>
      <c r="F76" s="1"/>
    </row>
    <row r="77" spans="1:6">
      <c r="A77" s="1"/>
      <c r="B77" s="1"/>
      <c r="C77" s="1"/>
      <c r="D77" s="1"/>
      <c r="E77" s="1"/>
      <c r="F77" s="1"/>
    </row>
    <row r="78" spans="1:6">
      <c r="A78" s="1"/>
      <c r="B78" s="1"/>
      <c r="C78" s="1"/>
      <c r="D78" s="1"/>
      <c r="E78" s="1"/>
      <c r="F78" s="1"/>
    </row>
    <row r="79" spans="1:6">
      <c r="A79" s="1"/>
      <c r="B79" s="1"/>
      <c r="C79" s="1"/>
      <c r="D79" s="1"/>
      <c r="E79" s="1"/>
      <c r="F79" s="1"/>
    </row>
    <row r="80" spans="1:6">
      <c r="A80" s="1"/>
      <c r="B80" s="1"/>
      <c r="C80" s="1"/>
      <c r="D80" s="1"/>
      <c r="E80" s="1"/>
      <c r="F80" s="1"/>
    </row>
    <row r="81" spans="1:6">
      <c r="A81" s="1"/>
      <c r="B81" s="1"/>
      <c r="C81" s="1"/>
      <c r="D81" s="1"/>
      <c r="E81" s="1"/>
      <c r="F81" s="1"/>
    </row>
    <row r="82" spans="1:6">
      <c r="A82" s="1"/>
      <c r="B82" s="1"/>
      <c r="C82" s="1"/>
      <c r="D82" s="1"/>
      <c r="E82" s="1"/>
      <c r="F82" s="1"/>
    </row>
    <row r="83" spans="1:6">
      <c r="A83" s="1"/>
      <c r="B83" s="1"/>
      <c r="C83" s="1"/>
      <c r="D83" s="1"/>
      <c r="E83" s="1"/>
      <c r="F83" s="1"/>
    </row>
    <row r="84" spans="1:6">
      <c r="A84" s="1"/>
      <c r="B84" s="1"/>
      <c r="C84" s="1"/>
      <c r="D84" s="1"/>
      <c r="E84" s="1"/>
      <c r="F84" s="1"/>
    </row>
    <row r="85" spans="1:6">
      <c r="A85" s="1"/>
      <c r="B85" s="1"/>
      <c r="C85" s="1"/>
      <c r="D85" s="1"/>
      <c r="E85" s="1"/>
      <c r="F85" s="1"/>
    </row>
    <row r="86" spans="1:6">
      <c r="A86" s="1"/>
      <c r="B86" s="1"/>
      <c r="C86" s="1"/>
      <c r="D86" s="1"/>
      <c r="E86" s="1"/>
      <c r="F86" s="1"/>
    </row>
    <row r="87" spans="1:6">
      <c r="A87" s="1"/>
      <c r="B87" s="1"/>
      <c r="C87" s="1"/>
      <c r="D87" s="1"/>
      <c r="E87" s="1"/>
      <c r="F87" s="1"/>
    </row>
    <row r="88" spans="1:6">
      <c r="A88" s="1"/>
      <c r="B88" s="1"/>
      <c r="C88" s="1"/>
      <c r="D88" s="1"/>
      <c r="E88" s="1"/>
      <c r="F88" s="1"/>
    </row>
    <row r="89" spans="1:6">
      <c r="A89" s="1"/>
      <c r="B89" s="1"/>
      <c r="C89" s="1"/>
      <c r="D89" s="1"/>
      <c r="E89" s="1"/>
      <c r="F89" s="1"/>
    </row>
    <row r="90" spans="1:6">
      <c r="A90" s="1"/>
      <c r="B90" s="1"/>
      <c r="C90" s="1"/>
      <c r="D90" s="1"/>
      <c r="E90" s="1"/>
      <c r="F90" s="1"/>
    </row>
    <row r="91" spans="1:6">
      <c r="A91" s="1"/>
      <c r="B91" s="1"/>
      <c r="C91" s="1"/>
      <c r="D91" s="1"/>
      <c r="E91" s="1"/>
      <c r="F91" s="1"/>
    </row>
    <row r="92" spans="1:6">
      <c r="A92" s="1"/>
      <c r="B92" s="1"/>
      <c r="C92" s="1"/>
      <c r="D92" s="1"/>
      <c r="E92" s="1"/>
      <c r="F92" s="1"/>
    </row>
    <row r="93" spans="1:6">
      <c r="A93" s="1"/>
      <c r="B93" s="1"/>
      <c r="C93" s="1"/>
      <c r="D93" s="1"/>
      <c r="E93" s="1"/>
      <c r="F93" s="1"/>
    </row>
    <row r="94" spans="1:6">
      <c r="A94" s="1"/>
      <c r="B94" s="1"/>
      <c r="C94" s="1"/>
      <c r="D94" s="1"/>
      <c r="E94" s="1"/>
      <c r="F94" s="1"/>
    </row>
    <row r="95" spans="1:6">
      <c r="A95" s="1"/>
      <c r="B95" s="1"/>
      <c r="C95" s="1"/>
      <c r="D95" s="1"/>
      <c r="E95" s="1"/>
      <c r="F95" s="1"/>
    </row>
    <row r="96" spans="1:6">
      <c r="A96" s="1"/>
      <c r="B96" s="1"/>
      <c r="C96" s="1"/>
      <c r="D96" s="1"/>
      <c r="E96" s="1"/>
      <c r="F96" s="1"/>
    </row>
    <row r="97" spans="1:6">
      <c r="A97" s="1"/>
      <c r="B97" s="1"/>
      <c r="C97" s="1"/>
      <c r="D97" s="1"/>
      <c r="E97" s="1"/>
      <c r="F97" s="1"/>
    </row>
    <row r="98" spans="1:6">
      <c r="A98" s="1"/>
      <c r="B98" s="1"/>
      <c r="C98" s="1"/>
      <c r="D98" s="1"/>
      <c r="E98" s="1"/>
      <c r="F98" s="1"/>
    </row>
    <row r="99" spans="1:6">
      <c r="A99" s="1"/>
      <c r="B99" s="1"/>
      <c r="C99" s="1"/>
      <c r="D99" s="1"/>
      <c r="E99" s="1"/>
      <c r="F99" s="1"/>
    </row>
    <row r="100" spans="1:6">
      <c r="A100" s="1"/>
      <c r="B100" s="1"/>
      <c r="C100" s="1"/>
      <c r="D100" s="1"/>
      <c r="E100" s="1"/>
      <c r="F100" s="1"/>
    </row>
    <row r="101" spans="1:6">
      <c r="A101" s="1"/>
      <c r="B101" s="1"/>
      <c r="C101" s="1"/>
      <c r="D101" s="1"/>
      <c r="E101" s="1"/>
      <c r="F101" s="1"/>
    </row>
    <row r="102" spans="1:6">
      <c r="A102" s="1"/>
      <c r="B102" s="1"/>
      <c r="C102" s="1"/>
      <c r="D102" s="1"/>
      <c r="E102" s="1"/>
      <c r="F102" s="1"/>
    </row>
    <row r="103" spans="1:6">
      <c r="A103" s="1"/>
      <c r="B103" s="1"/>
      <c r="C103" s="1"/>
      <c r="D103" s="1"/>
      <c r="E103" s="1"/>
      <c r="F103" s="1"/>
    </row>
    <row r="104" spans="1:6">
      <c r="A104" s="1"/>
      <c r="B104" s="1"/>
      <c r="C104" s="1"/>
      <c r="D104" s="1"/>
      <c r="E104" s="1"/>
      <c r="F104" s="1"/>
    </row>
    <row r="105" spans="1:6">
      <c r="A105" s="1"/>
      <c r="B105" s="1"/>
      <c r="C105" s="1"/>
      <c r="D105" s="1"/>
      <c r="E105" s="1"/>
      <c r="F105" s="1"/>
    </row>
    <row r="106" spans="1:6">
      <c r="A106" s="1"/>
      <c r="B106" s="1"/>
      <c r="C106" s="1"/>
      <c r="D106" s="1"/>
      <c r="E106" s="1"/>
      <c r="F106" s="1"/>
    </row>
    <row r="107" spans="1:6">
      <c r="A107" s="1"/>
      <c r="B107" s="1"/>
      <c r="C107" s="1"/>
      <c r="D107" s="1"/>
      <c r="E107" s="1"/>
      <c r="F107" s="1"/>
    </row>
    <row r="108" spans="1:6">
      <c r="A108" s="1"/>
      <c r="B108" s="1"/>
      <c r="C108" s="1"/>
      <c r="D108" s="1"/>
      <c r="E108" s="1"/>
      <c r="F108" s="1"/>
    </row>
    <row r="109" spans="1:6">
      <c r="A109" s="1"/>
      <c r="B109" s="1"/>
      <c r="C109" s="1"/>
      <c r="D109" s="1"/>
      <c r="E109" s="1"/>
      <c r="F109" s="1"/>
    </row>
    <row r="110" spans="1:6">
      <c r="A110" s="1"/>
      <c r="B110" s="1"/>
      <c r="C110" s="1"/>
      <c r="D110" s="1"/>
      <c r="E110" s="1"/>
      <c r="F110" s="1"/>
    </row>
    <row r="111" spans="1:6">
      <c r="A111" s="1"/>
      <c r="B111" s="1"/>
      <c r="C111" s="1"/>
      <c r="D111" s="1"/>
      <c r="E111" s="1"/>
      <c r="F111" s="1"/>
    </row>
    <row r="112" spans="1:6">
      <c r="A112" s="1"/>
      <c r="B112" s="1"/>
      <c r="C112" s="1"/>
      <c r="D112" s="1"/>
      <c r="E112" s="1"/>
      <c r="F112" s="1"/>
    </row>
    <row r="113" spans="1:6">
      <c r="A113" s="1"/>
      <c r="B113" s="1"/>
      <c r="C113" s="1"/>
      <c r="D113" s="1"/>
      <c r="E113" s="1"/>
      <c r="F113" s="1"/>
    </row>
    <row r="114" spans="1:6">
      <c r="A114" s="1"/>
      <c r="B114" s="1"/>
      <c r="C114" s="1"/>
      <c r="D114" s="1"/>
      <c r="E114" s="1"/>
      <c r="F114" s="1"/>
    </row>
    <row r="115" spans="1:6">
      <c r="A115" s="1"/>
      <c r="B115" s="1"/>
      <c r="C115" s="1"/>
      <c r="D115" s="1"/>
      <c r="E115" s="1"/>
      <c r="F115" s="1"/>
    </row>
    <row r="116" spans="1:6">
      <c r="A116" s="1"/>
      <c r="B116" s="1"/>
      <c r="C116" s="1"/>
      <c r="D116" s="1"/>
      <c r="E116" s="1"/>
      <c r="F116" s="1"/>
    </row>
    <row r="117" spans="1:6">
      <c r="A117" s="1"/>
      <c r="B117" s="1"/>
      <c r="C117" s="1"/>
      <c r="D117" s="1"/>
      <c r="E117" s="1"/>
      <c r="F117" s="1"/>
    </row>
    <row r="118" spans="1:6">
      <c r="A118" s="1"/>
      <c r="B118" s="1"/>
      <c r="C118" s="1"/>
      <c r="D118" s="1"/>
      <c r="E118" s="1"/>
      <c r="F118" s="1"/>
    </row>
    <row r="119" spans="1:6">
      <c r="A119" s="1"/>
      <c r="B119" s="1"/>
      <c r="C119" s="1"/>
      <c r="D119" s="1"/>
      <c r="E119" s="1"/>
      <c r="F119" s="1"/>
    </row>
    <row r="120" spans="1:6">
      <c r="A120" s="1"/>
      <c r="B120" s="1"/>
      <c r="C120" s="1"/>
      <c r="D120" s="1"/>
      <c r="E120" s="1"/>
      <c r="F120" s="1"/>
    </row>
    <row r="121" spans="1:6">
      <c r="A121" s="1"/>
      <c r="B121" s="1"/>
      <c r="C121" s="1"/>
      <c r="D121" s="1"/>
      <c r="E121" s="1"/>
      <c r="F121" s="1"/>
    </row>
    <row r="122" spans="1:6">
      <c r="A122" s="1"/>
      <c r="B122" s="1"/>
      <c r="C122" s="1"/>
      <c r="D122" s="1"/>
      <c r="E122" s="1"/>
      <c r="F122" s="1"/>
    </row>
    <row r="123" spans="1:6">
      <c r="A123" s="1"/>
      <c r="B123" s="1"/>
      <c r="C123" s="1"/>
      <c r="D123" s="1"/>
      <c r="E123" s="1"/>
      <c r="F123" s="1"/>
    </row>
    <row r="124" spans="1:6">
      <c r="A124" s="1"/>
      <c r="B124" s="1"/>
      <c r="C124" s="1"/>
      <c r="D124" s="1"/>
      <c r="E124" s="1"/>
      <c r="F124" s="1"/>
    </row>
    <row r="125" spans="1:6">
      <c r="A125" s="1"/>
      <c r="B125" s="1"/>
      <c r="C125" s="1"/>
      <c r="D125" s="1"/>
      <c r="E125" s="1"/>
      <c r="F125" s="1"/>
    </row>
    <row r="126" spans="1:6">
      <c r="A126" s="1"/>
      <c r="B126" s="1"/>
      <c r="C126" s="1"/>
      <c r="D126" s="1"/>
      <c r="E126" s="1"/>
      <c r="F126" s="1"/>
    </row>
    <row r="127" spans="1:6">
      <c r="A127" s="1"/>
      <c r="B127" s="1"/>
      <c r="C127" s="1"/>
      <c r="D127" s="1"/>
      <c r="E127" s="1"/>
      <c r="F127" s="1"/>
    </row>
    <row r="128" spans="1:6">
      <c r="A128" s="1"/>
      <c r="B128" s="1"/>
      <c r="C128" s="1"/>
      <c r="D128" s="1"/>
      <c r="E128" s="1"/>
      <c r="F128" s="1"/>
    </row>
    <row r="129" spans="1:6">
      <c r="A129" s="1"/>
      <c r="B129" s="1"/>
      <c r="C129" s="1"/>
      <c r="D129" s="1"/>
      <c r="E129" s="1"/>
      <c r="F129" s="1"/>
    </row>
    <row r="130" spans="1:6">
      <c r="A130" s="1"/>
      <c r="B130" s="1"/>
      <c r="C130" s="1"/>
      <c r="D130" s="1"/>
      <c r="E130" s="1"/>
      <c r="F130" s="1"/>
    </row>
    <row r="131" spans="1:6">
      <c r="A131" s="1"/>
      <c r="B131" s="1"/>
      <c r="C131" s="1"/>
      <c r="D131" s="1"/>
      <c r="E131" s="1"/>
      <c r="F131" s="1"/>
    </row>
    <row r="132" spans="1:6">
      <c r="A132" s="1"/>
      <c r="B132" s="1"/>
      <c r="C132" s="1"/>
      <c r="D132" s="1"/>
      <c r="E132" s="1"/>
      <c r="F132" s="1"/>
    </row>
    <row r="133" spans="1:6">
      <c r="A133" s="1"/>
      <c r="B133" s="1"/>
      <c r="C133" s="1"/>
      <c r="D133" s="1"/>
      <c r="E133" s="1"/>
      <c r="F133" s="1"/>
    </row>
    <row r="134" spans="1:6">
      <c r="A134" s="1"/>
      <c r="B134" s="1"/>
      <c r="C134" s="1"/>
      <c r="D134" s="1"/>
      <c r="E134" s="1"/>
      <c r="F134" s="1"/>
    </row>
    <row r="135" spans="1:6">
      <c r="A135" s="1"/>
      <c r="B135" s="1"/>
      <c r="C135" s="1"/>
      <c r="D135" s="1"/>
      <c r="E135" s="1"/>
      <c r="F135" s="1"/>
    </row>
    <row r="136" spans="1:6">
      <c r="A136" s="1"/>
      <c r="B136" s="1"/>
      <c r="C136" s="1"/>
      <c r="D136" s="1"/>
      <c r="E136" s="1"/>
      <c r="F136" s="1"/>
    </row>
    <row r="137" spans="1:6">
      <c r="A137" s="1"/>
      <c r="B137" s="1"/>
      <c r="C137" s="1"/>
      <c r="D137" s="1"/>
      <c r="E137" s="1"/>
      <c r="F137" s="1"/>
    </row>
    <row r="138" spans="1:6">
      <c r="A138" s="1"/>
      <c r="B138" s="1"/>
      <c r="C138" s="1"/>
      <c r="D138" s="1"/>
      <c r="E138" s="1"/>
      <c r="F138" s="1"/>
    </row>
    <row r="139" spans="1:6">
      <c r="A139" s="1"/>
      <c r="B139" s="1"/>
      <c r="C139" s="1"/>
      <c r="D139" s="1"/>
      <c r="E139" s="1"/>
      <c r="F139" s="1"/>
    </row>
    <row r="140" spans="1:6">
      <c r="A140" s="1"/>
      <c r="B140" s="1"/>
      <c r="C140" s="1"/>
      <c r="D140" s="1"/>
      <c r="E140" s="1"/>
      <c r="F140" s="1"/>
    </row>
    <row r="141" spans="1:6">
      <c r="A141" s="1"/>
      <c r="B141" s="1"/>
      <c r="C141" s="1"/>
      <c r="D141" s="1"/>
      <c r="E141" s="1"/>
      <c r="F141" s="1"/>
    </row>
    <row r="142" spans="1:6">
      <c r="A142" s="1"/>
      <c r="B142" s="1"/>
      <c r="C142" s="1"/>
      <c r="D142" s="1"/>
      <c r="E142" s="1"/>
      <c r="F142" s="1"/>
    </row>
    <row r="143" spans="1:6">
      <c r="A143" s="1"/>
      <c r="B143" s="1"/>
      <c r="C143" s="1"/>
      <c r="D143" s="1"/>
      <c r="E143" s="1"/>
      <c r="F143" s="1"/>
    </row>
    <row r="144" spans="1:6">
      <c r="A144" s="1"/>
      <c r="B144" s="1"/>
      <c r="C144" s="1"/>
      <c r="D144" s="1"/>
      <c r="E144" s="1"/>
      <c r="F144" s="1"/>
    </row>
    <row r="145" spans="1:6">
      <c r="A145" s="1"/>
      <c r="B145" s="1"/>
      <c r="C145" s="1"/>
      <c r="D145" s="1"/>
      <c r="E145" s="1"/>
      <c r="F145" s="1"/>
    </row>
    <row r="146" spans="1:6">
      <c r="A146" s="1"/>
      <c r="B146" s="1"/>
      <c r="C146" s="1"/>
      <c r="D146" s="1"/>
      <c r="E146" s="1"/>
      <c r="F146" s="1"/>
    </row>
    <row r="147" spans="1:6">
      <c r="A147" s="1"/>
      <c r="B147" s="1"/>
      <c r="C147" s="1"/>
      <c r="D147" s="1"/>
      <c r="E147" s="1"/>
      <c r="F147" s="1"/>
    </row>
    <row r="148" spans="1:6">
      <c r="A148" s="1"/>
      <c r="B148" s="1"/>
      <c r="C148" s="1"/>
      <c r="D148" s="1"/>
      <c r="E148" s="1"/>
      <c r="F148" s="1"/>
    </row>
    <row r="149" spans="1:6">
      <c r="A149" s="1"/>
      <c r="B149" s="1"/>
      <c r="C149" s="1"/>
      <c r="D149" s="1"/>
      <c r="E149" s="1"/>
      <c r="F149" s="1"/>
    </row>
    <row r="150" spans="1:6">
      <c r="A150" s="1"/>
      <c r="B150" s="1"/>
      <c r="C150" s="1"/>
      <c r="D150" s="1"/>
      <c r="E150" s="1"/>
      <c r="F150" s="1"/>
    </row>
    <row r="151" spans="1:6">
      <c r="A151" s="1"/>
      <c r="B151" s="1"/>
      <c r="C151" s="1"/>
      <c r="D151" s="1"/>
      <c r="E151" s="1"/>
      <c r="F151" s="1"/>
    </row>
    <row r="152" spans="1:6">
      <c r="A152" s="1"/>
      <c r="B152" s="1"/>
      <c r="C152" s="1"/>
      <c r="D152" s="1"/>
      <c r="E152" s="1"/>
      <c r="F152" s="1"/>
    </row>
    <row r="153" spans="1:6">
      <c r="A153" s="1"/>
      <c r="B153" s="1"/>
      <c r="C153" s="1"/>
      <c r="D153" s="1"/>
      <c r="E153" s="1"/>
      <c r="F153" s="1"/>
    </row>
    <row r="154" spans="1:6">
      <c r="A154" s="1"/>
      <c r="B154" s="1"/>
      <c r="C154" s="1"/>
      <c r="D154" s="1"/>
      <c r="E154" s="1"/>
      <c r="F154" s="1"/>
    </row>
    <row r="155" spans="1:6">
      <c r="A155" s="1"/>
      <c r="B155" s="1"/>
      <c r="C155" s="1"/>
      <c r="D155" s="1"/>
      <c r="E155" s="1"/>
      <c r="F155" s="1"/>
    </row>
    <row r="156" spans="1:6">
      <c r="A156" s="1"/>
      <c r="B156" s="1"/>
      <c r="C156" s="1"/>
      <c r="D156" s="1"/>
      <c r="E156" s="1"/>
      <c r="F156" s="1"/>
    </row>
    <row r="157" spans="1:6">
      <c r="A157" s="1"/>
      <c r="B157" s="1"/>
      <c r="C157" s="1"/>
      <c r="D157" s="1"/>
      <c r="E157" s="1"/>
      <c r="F157" s="1"/>
    </row>
    <row r="158" spans="1:6">
      <c r="A158" s="1"/>
      <c r="B158" s="1"/>
      <c r="C158" s="1"/>
      <c r="D158" s="1"/>
      <c r="E158" s="1"/>
      <c r="F158" s="1"/>
    </row>
    <row r="159" spans="1:6">
      <c r="A159" s="1"/>
      <c r="B159" s="1"/>
      <c r="C159" s="1"/>
      <c r="D159" s="1"/>
      <c r="E159" s="1"/>
      <c r="F159" s="1"/>
    </row>
    <row r="160" spans="1:6">
      <c r="A160" s="1"/>
      <c r="B160" s="1"/>
      <c r="C160" s="1"/>
      <c r="D160" s="1"/>
      <c r="E160" s="1"/>
      <c r="F160" s="1"/>
    </row>
    <row r="161" spans="1:6">
      <c r="A161" s="1"/>
      <c r="B161" s="1"/>
      <c r="C161" s="1"/>
      <c r="D161" s="1"/>
      <c r="E161" s="1"/>
      <c r="F161" s="1"/>
    </row>
    <row r="162" spans="1:6">
      <c r="A162" s="1"/>
      <c r="B162" s="1"/>
      <c r="C162" s="1"/>
      <c r="D162" s="1"/>
      <c r="E162" s="1"/>
      <c r="F162" s="1"/>
    </row>
    <row r="163" spans="1:6">
      <c r="A163" s="1"/>
      <c r="B163" s="1"/>
      <c r="C163" s="1"/>
      <c r="D163" s="1"/>
      <c r="E163" s="1"/>
      <c r="F163" s="1"/>
    </row>
    <row r="164" spans="1:6">
      <c r="A164" s="1"/>
      <c r="B164" s="1"/>
      <c r="C164" s="1"/>
      <c r="D164" s="1"/>
      <c r="E164" s="1"/>
      <c r="F164" s="1"/>
    </row>
    <row r="165" spans="1:6">
      <c r="A165" s="1"/>
      <c r="B165" s="1"/>
      <c r="C165" s="1"/>
      <c r="D165" s="1"/>
      <c r="E165" s="1"/>
      <c r="F165" s="1"/>
    </row>
    <row r="166" spans="1:6">
      <c r="A166" s="1"/>
      <c r="B166" s="1"/>
      <c r="C166" s="1"/>
      <c r="D166" s="1"/>
      <c r="E166" s="1"/>
      <c r="F166" s="1"/>
    </row>
    <row r="167" spans="1:6">
      <c r="A167" s="1"/>
      <c r="B167" s="1"/>
      <c r="C167" s="1"/>
      <c r="D167" s="1"/>
      <c r="E167" s="1"/>
      <c r="F167" s="1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  <row r="178" spans="1:6">
      <c r="A178" s="1"/>
      <c r="B178" s="1"/>
      <c r="C178" s="1"/>
      <c r="D178" s="1"/>
      <c r="E178" s="1"/>
      <c r="F178" s="1"/>
    </row>
    <row r="179" spans="1:6">
      <c r="A179" s="1"/>
      <c r="B179" s="1"/>
      <c r="C179" s="1"/>
      <c r="D179" s="1"/>
      <c r="E179" s="1"/>
      <c r="F179" s="1"/>
    </row>
    <row r="180" spans="1:6">
      <c r="A180" s="1"/>
      <c r="B180" s="1"/>
      <c r="C180" s="1"/>
      <c r="D180" s="1"/>
      <c r="E180" s="1"/>
      <c r="F180" s="1"/>
    </row>
    <row r="181" spans="1:6">
      <c r="A181" s="1"/>
      <c r="B181" s="1"/>
      <c r="C181" s="1"/>
      <c r="D181" s="1"/>
      <c r="E181" s="1"/>
      <c r="F181" s="1"/>
    </row>
    <row r="182" spans="1:6">
      <c r="A182" s="1"/>
      <c r="B182" s="1"/>
      <c r="C182" s="1"/>
      <c r="D182" s="1"/>
      <c r="E182" s="1"/>
      <c r="F182" s="1"/>
    </row>
    <row r="183" spans="1:6">
      <c r="A183" s="1"/>
      <c r="B183" s="1"/>
      <c r="C183" s="1"/>
      <c r="D183" s="1"/>
      <c r="E183" s="1"/>
      <c r="F183" s="1"/>
    </row>
    <row r="184" spans="1:6">
      <c r="A184" s="1"/>
      <c r="B184" s="1"/>
      <c r="C184" s="1"/>
      <c r="D184" s="1"/>
      <c r="E184" s="1"/>
      <c r="F184" s="1"/>
    </row>
    <row r="185" spans="1:6">
      <c r="A185" s="1"/>
      <c r="B185" s="1"/>
      <c r="C185" s="1"/>
      <c r="D185" s="1"/>
      <c r="E185" s="1"/>
      <c r="F185" s="1"/>
    </row>
    <row r="186" spans="1:6">
      <c r="A186" s="1"/>
      <c r="B186" s="1"/>
      <c r="C186" s="1"/>
      <c r="D186" s="1"/>
      <c r="E186" s="1"/>
      <c r="F186" s="1"/>
    </row>
    <row r="187" spans="1:6">
      <c r="A187" s="1"/>
      <c r="B187" s="1"/>
      <c r="C187" s="1"/>
      <c r="D187" s="1"/>
      <c r="E187" s="1"/>
      <c r="F187" s="1"/>
    </row>
    <row r="188" spans="1:6">
      <c r="A188" s="1"/>
      <c r="B188" s="1"/>
      <c r="C188" s="1"/>
      <c r="D188" s="1"/>
      <c r="E188" s="1"/>
      <c r="F188" s="1"/>
    </row>
    <row r="189" spans="1:6">
      <c r="A189" s="1"/>
      <c r="B189" s="1"/>
      <c r="C189" s="1"/>
      <c r="D189" s="1"/>
      <c r="E189" s="1"/>
      <c r="F189" s="1"/>
    </row>
    <row r="190" spans="1:6">
      <c r="A190" s="1"/>
      <c r="B190" s="1"/>
      <c r="C190" s="1"/>
      <c r="D190" s="1"/>
      <c r="E190" s="1"/>
      <c r="F190" s="1"/>
    </row>
    <row r="191" spans="1:6">
      <c r="A191" s="1"/>
      <c r="B191" s="1"/>
      <c r="C191" s="1"/>
      <c r="D191" s="1"/>
      <c r="E191" s="1"/>
      <c r="F191" s="1"/>
    </row>
    <row r="192" spans="1:6">
      <c r="A192" s="1"/>
      <c r="B192" s="1"/>
      <c r="C192" s="1"/>
      <c r="D192" s="1"/>
      <c r="E192" s="1"/>
      <c r="F192" s="1"/>
    </row>
    <row r="193" spans="1:6">
      <c r="A193" s="1"/>
      <c r="B193" s="1"/>
      <c r="C193" s="1"/>
      <c r="D193" s="1"/>
      <c r="E193" s="1"/>
      <c r="F193" s="1"/>
    </row>
    <row r="194" spans="1:6">
      <c r="A194" s="1"/>
      <c r="B194" s="1"/>
      <c r="C194" s="1"/>
      <c r="D194" s="1"/>
      <c r="E194" s="1"/>
      <c r="F194" s="1"/>
    </row>
    <row r="195" spans="1:6">
      <c r="A195" s="1"/>
      <c r="B195" s="1"/>
      <c r="C195" s="1"/>
      <c r="D195" s="1"/>
      <c r="E195" s="1"/>
      <c r="F195" s="1"/>
    </row>
    <row r="196" spans="1:6">
      <c r="A196" s="1"/>
      <c r="B196" s="1"/>
      <c r="C196" s="1"/>
      <c r="D196" s="1"/>
      <c r="E196" s="1"/>
      <c r="F196" s="1"/>
    </row>
    <row r="197" spans="1:6">
      <c r="A197" s="1"/>
      <c r="B197" s="1"/>
      <c r="C197" s="1"/>
      <c r="D197" s="1"/>
      <c r="E197" s="1"/>
      <c r="F197" s="1"/>
    </row>
    <row r="198" spans="1:6">
      <c r="A198" s="1"/>
      <c r="B198" s="1"/>
      <c r="C198" s="1"/>
      <c r="D198" s="1"/>
      <c r="E198" s="1"/>
      <c r="F198" s="1"/>
    </row>
    <row r="199" spans="1:6">
      <c r="A199" s="1"/>
      <c r="B199" s="1"/>
      <c r="C199" s="1"/>
      <c r="D199" s="1"/>
      <c r="E199" s="1"/>
      <c r="F199" s="1"/>
    </row>
    <row r="200" spans="1:6">
      <c r="A200" s="1"/>
      <c r="B200" s="1"/>
      <c r="C200" s="1"/>
      <c r="D200" s="1"/>
      <c r="E200" s="1"/>
      <c r="F200" s="1"/>
    </row>
    <row r="201" spans="1:6">
      <c r="A201" s="1"/>
      <c r="B201" s="1"/>
      <c r="C201" s="1"/>
      <c r="D201" s="1"/>
      <c r="E201" s="1"/>
      <c r="F201" s="1"/>
    </row>
    <row r="202" spans="1:6">
      <c r="A202" s="1"/>
      <c r="B202" s="1"/>
      <c r="C202" s="1"/>
      <c r="D202" s="1"/>
      <c r="E202" s="1"/>
      <c r="F202" s="1"/>
    </row>
    <row r="203" spans="1:6">
      <c r="A203" s="1"/>
      <c r="B203" s="1"/>
      <c r="C203" s="1"/>
      <c r="D203" s="1"/>
      <c r="E203" s="1"/>
      <c r="F203" s="1"/>
    </row>
    <row r="204" spans="1:6">
      <c r="A204" s="1"/>
      <c r="B204" s="1"/>
      <c r="C204" s="1"/>
      <c r="D204" s="1"/>
      <c r="E204" s="1"/>
      <c r="F204" s="1"/>
    </row>
    <row r="205" spans="1:6">
      <c r="A205" s="1"/>
      <c r="B205" s="1"/>
      <c r="C205" s="1"/>
      <c r="D205" s="1"/>
      <c r="E205" s="1"/>
      <c r="F205" s="1"/>
    </row>
    <row r="206" spans="1:6">
      <c r="A206" s="1"/>
      <c r="B206" s="1"/>
      <c r="C206" s="1"/>
      <c r="D206" s="1"/>
      <c r="E206" s="1"/>
      <c r="F206" s="1"/>
    </row>
    <row r="207" spans="1:6">
      <c r="A207" s="1"/>
      <c r="B207" s="1"/>
      <c r="C207" s="1"/>
      <c r="D207" s="1"/>
      <c r="E207" s="1"/>
      <c r="F207" s="1"/>
    </row>
    <row r="208" spans="1:6">
      <c r="A208" s="1"/>
      <c r="B208" s="1"/>
      <c r="C208" s="1"/>
      <c r="D208" s="1"/>
      <c r="E208" s="1"/>
      <c r="F208" s="1"/>
    </row>
    <row r="209" spans="1:6">
      <c r="A209" s="1"/>
      <c r="B209" s="1"/>
      <c r="C209" s="1"/>
      <c r="D209" s="1"/>
      <c r="E209" s="1"/>
      <c r="F209" s="1"/>
    </row>
    <row r="210" spans="1:6">
      <c r="A210" s="1"/>
      <c r="B210" s="1"/>
      <c r="C210" s="1"/>
      <c r="D210" s="1"/>
      <c r="E210" s="1"/>
      <c r="F210" s="1"/>
    </row>
    <row r="211" spans="1:6">
      <c r="A211" s="1"/>
      <c r="B211" s="1"/>
      <c r="C211" s="1"/>
      <c r="D211" s="1"/>
      <c r="E211" s="1"/>
      <c r="F211" s="1"/>
    </row>
    <row r="212" spans="1:6">
      <c r="A212" s="1"/>
      <c r="B212" s="1"/>
      <c r="C212" s="1"/>
      <c r="D212" s="1"/>
      <c r="E212" s="1"/>
      <c r="F212" s="1"/>
    </row>
    <row r="213" spans="1:6">
      <c r="A213" s="1"/>
      <c r="B213" s="1"/>
      <c r="C213" s="1"/>
      <c r="D213" s="1"/>
      <c r="E213" s="1"/>
      <c r="F213" s="1"/>
    </row>
    <row r="214" spans="1:6">
      <c r="A214" s="1"/>
      <c r="B214" s="1"/>
      <c r="C214" s="1"/>
      <c r="D214" s="1"/>
      <c r="E214" s="1"/>
      <c r="F214" s="1"/>
    </row>
    <row r="215" spans="1:6">
      <c r="A215" s="1"/>
      <c r="B215" s="1"/>
      <c r="C215" s="1"/>
      <c r="D215" s="1"/>
      <c r="E215" s="1"/>
      <c r="F215" s="1"/>
    </row>
    <row r="216" spans="1:6">
      <c r="A216" s="1"/>
      <c r="B216" s="1"/>
      <c r="C216" s="1"/>
      <c r="D216" s="1"/>
      <c r="E216" s="1"/>
      <c r="F216" s="1"/>
    </row>
    <row r="217" spans="1:6">
      <c r="A217" s="1"/>
      <c r="B217" s="1"/>
      <c r="C217" s="1"/>
      <c r="D217" s="1"/>
      <c r="E217" s="1"/>
      <c r="F217" s="1"/>
    </row>
    <row r="218" spans="1:6">
      <c r="A218" s="1"/>
      <c r="B218" s="1"/>
      <c r="C218" s="1"/>
      <c r="D218" s="1"/>
      <c r="E218" s="1"/>
      <c r="F218" s="1"/>
    </row>
    <row r="219" spans="1:6">
      <c r="A219" s="1"/>
      <c r="B219" s="1"/>
      <c r="C219" s="1"/>
      <c r="D219" s="1"/>
      <c r="E219" s="1"/>
      <c r="F219" s="1"/>
    </row>
    <row r="220" spans="1:6">
      <c r="A220" s="1"/>
      <c r="B220" s="1"/>
      <c r="C220" s="1"/>
      <c r="D220" s="1"/>
      <c r="E220" s="1"/>
      <c r="F220" s="1"/>
    </row>
    <row r="221" spans="1:6">
      <c r="A221" s="1"/>
      <c r="B221" s="1"/>
      <c r="C221" s="1"/>
      <c r="D221" s="1"/>
      <c r="E221" s="1"/>
      <c r="F221" s="1"/>
    </row>
    <row r="222" spans="1:6">
      <c r="A222" s="1"/>
      <c r="B222" s="1"/>
      <c r="C222" s="1"/>
      <c r="D222" s="1"/>
      <c r="E222" s="1"/>
      <c r="F222" s="1"/>
    </row>
    <row r="223" spans="1:6">
      <c r="A223" s="1"/>
      <c r="B223" s="1"/>
      <c r="C223" s="1"/>
      <c r="D223" s="1"/>
      <c r="E223" s="1"/>
      <c r="F223" s="1"/>
    </row>
    <row r="224" spans="1:6">
      <c r="A224" s="1"/>
      <c r="B224" s="1"/>
      <c r="C224" s="1"/>
      <c r="D224" s="1"/>
      <c r="E224" s="1"/>
      <c r="F224" s="1"/>
    </row>
    <row r="225" spans="1:6">
      <c r="A225" s="1"/>
      <c r="B225" s="1"/>
      <c r="C225" s="1"/>
      <c r="D225" s="1"/>
      <c r="E225" s="1"/>
      <c r="F225" s="1"/>
    </row>
    <row r="226" spans="1:6">
      <c r="A226" s="1"/>
      <c r="B226" s="1"/>
      <c r="C226" s="1"/>
      <c r="D226" s="1"/>
      <c r="E226" s="1"/>
      <c r="F226" s="1"/>
    </row>
    <row r="227" spans="1:6">
      <c r="A227" s="1"/>
      <c r="B227" s="1"/>
      <c r="C227" s="1"/>
      <c r="D227" s="1"/>
      <c r="E227" s="1"/>
      <c r="F227" s="1"/>
    </row>
    <row r="228" spans="1:6">
      <c r="A228" s="1"/>
      <c r="B228" s="1"/>
      <c r="C228" s="1"/>
      <c r="D228" s="1"/>
      <c r="E228" s="1"/>
      <c r="F228" s="1"/>
    </row>
    <row r="229" spans="1:6">
      <c r="A229" s="1"/>
      <c r="B229" s="1"/>
      <c r="C229" s="1"/>
      <c r="D229" s="1"/>
      <c r="E229" s="1"/>
      <c r="F229" s="1"/>
    </row>
    <row r="230" spans="1:6">
      <c r="A230" s="1"/>
      <c r="B230" s="1"/>
      <c r="C230" s="1"/>
      <c r="D230" s="1"/>
      <c r="E230" s="1"/>
      <c r="F230" s="1"/>
    </row>
    <row r="231" spans="1:6">
      <c r="A231" s="1"/>
      <c r="B231" s="1"/>
      <c r="C231" s="1"/>
      <c r="D231" s="1"/>
      <c r="E231" s="1"/>
      <c r="F231" s="1"/>
    </row>
    <row r="232" spans="1:6">
      <c r="A232" s="1"/>
      <c r="B232" s="1"/>
      <c r="C232" s="1"/>
      <c r="D232" s="1"/>
      <c r="E232" s="1"/>
      <c r="F232" s="1"/>
    </row>
    <row r="233" spans="1:6">
      <c r="A233" s="1"/>
      <c r="B233" s="1"/>
      <c r="C233" s="1"/>
      <c r="D233" s="1"/>
      <c r="E233" s="1"/>
      <c r="F233" s="1"/>
    </row>
    <row r="234" spans="1:6">
      <c r="A234" s="1"/>
      <c r="B234" s="1"/>
      <c r="C234" s="1"/>
      <c r="D234" s="1"/>
      <c r="E234" s="1"/>
      <c r="F234" s="1"/>
    </row>
    <row r="235" spans="1:6">
      <c r="A235" s="1"/>
      <c r="B235" s="1"/>
      <c r="C235" s="1"/>
      <c r="D235" s="1"/>
      <c r="E235" s="1"/>
      <c r="F235" s="1"/>
    </row>
    <row r="236" spans="1:6">
      <c r="A236" s="1"/>
      <c r="B236" s="1"/>
      <c r="C236" s="1"/>
      <c r="D236" s="1"/>
      <c r="E236" s="1"/>
      <c r="F236" s="1"/>
    </row>
    <row r="237" spans="1:6">
      <c r="A237" s="1"/>
      <c r="B237" s="1"/>
      <c r="C237" s="1"/>
      <c r="D237" s="1"/>
      <c r="E237" s="1"/>
      <c r="F237" s="1"/>
    </row>
    <row r="238" spans="1:6">
      <c r="A238" s="1"/>
      <c r="B238" s="1"/>
      <c r="C238" s="1"/>
      <c r="D238" s="1"/>
      <c r="E238" s="1"/>
      <c r="F238" s="1"/>
    </row>
    <row r="239" spans="1:6">
      <c r="A239" s="1"/>
      <c r="B239" s="1"/>
      <c r="C239" s="1"/>
      <c r="D239" s="1"/>
      <c r="E239" s="1"/>
      <c r="F239" s="1"/>
    </row>
    <row r="240" spans="1:6">
      <c r="A240" s="1"/>
      <c r="B240" s="1"/>
      <c r="C240" s="1"/>
      <c r="D240" s="1"/>
      <c r="E240" s="1"/>
      <c r="F240" s="1"/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22"/>
  <sheetViews>
    <sheetView workbookViewId="0"/>
  </sheetViews>
  <sheetFormatPr defaultRowHeight="13.5"/>
  <cols>
    <col min="1" max="1" width="9" style="6" customWidth="1"/>
    <col min="2" max="2" width="10.125" style="6" customWidth="1"/>
    <col min="3" max="9" width="9" style="6"/>
    <col min="10" max="10" width="9.625" style="6" customWidth="1"/>
    <col min="11" max="16384" width="9" style="6"/>
  </cols>
  <sheetData>
    <row r="1" spans="2:15" ht="72" customHeight="1">
      <c r="B1" s="235" t="s">
        <v>60</v>
      </c>
      <c r="C1" s="235"/>
      <c r="D1" s="235"/>
      <c r="E1" s="235"/>
      <c r="F1" s="235"/>
      <c r="G1" s="235"/>
      <c r="H1" s="235"/>
      <c r="I1" s="5"/>
      <c r="J1" s="5"/>
    </row>
    <row r="2" spans="2:15" ht="14.25" thickBot="1"/>
    <row r="3" spans="2:15" ht="16.5">
      <c r="B3" s="7" t="s">
        <v>61</v>
      </c>
      <c r="C3" s="236">
        <v>2</v>
      </c>
      <c r="D3" s="237"/>
      <c r="E3" s="237"/>
      <c r="F3" s="237"/>
      <c r="G3" s="238"/>
      <c r="J3" s="7" t="s">
        <v>61</v>
      </c>
      <c r="K3" s="242">
        <v>4</v>
      </c>
      <c r="L3" s="243"/>
      <c r="M3" s="243"/>
      <c r="N3" s="243"/>
      <c r="O3" s="244"/>
    </row>
    <row r="4" spans="2:15" ht="16.5">
      <c r="B4" s="8" t="s">
        <v>62</v>
      </c>
      <c r="C4" s="245">
        <v>8</v>
      </c>
      <c r="D4" s="246"/>
      <c r="E4" s="246"/>
      <c r="F4" s="246"/>
      <c r="G4" s="247"/>
      <c r="J4" s="8" t="s">
        <v>62</v>
      </c>
      <c r="K4" s="248">
        <v>12</v>
      </c>
      <c r="L4" s="249"/>
      <c r="M4" s="249"/>
      <c r="N4" s="249"/>
      <c r="O4" s="250"/>
    </row>
    <row r="5" spans="2:15" ht="16.5">
      <c r="B5" s="8" t="s">
        <v>63</v>
      </c>
      <c r="C5" s="9">
        <v>1</v>
      </c>
      <c r="D5" s="10">
        <v>2</v>
      </c>
      <c r="E5" s="251">
        <v>4</v>
      </c>
      <c r="F5" s="252"/>
      <c r="G5" s="253"/>
      <c r="J5" s="8" t="s">
        <v>63</v>
      </c>
      <c r="K5" s="9">
        <v>1</v>
      </c>
      <c r="L5" s="10">
        <v>2</v>
      </c>
      <c r="M5" s="251">
        <v>4</v>
      </c>
      <c r="N5" s="252"/>
      <c r="O5" s="253"/>
    </row>
    <row r="6" spans="2:15" ht="17.25" thickBot="1">
      <c r="B6" s="11" t="s">
        <v>58</v>
      </c>
      <c r="C6" s="12">
        <v>1000</v>
      </c>
      <c r="D6" s="13">
        <v>1001</v>
      </c>
      <c r="E6" s="14">
        <v>1001</v>
      </c>
      <c r="F6" s="14">
        <v>1002</v>
      </c>
      <c r="G6" s="15">
        <v>1003</v>
      </c>
      <c r="J6" s="11" t="s">
        <v>58</v>
      </c>
      <c r="K6" s="12">
        <v>1000</v>
      </c>
      <c r="L6" s="13">
        <v>1001</v>
      </c>
      <c r="M6" s="13">
        <v>1001</v>
      </c>
      <c r="N6" s="13">
        <v>1002</v>
      </c>
      <c r="O6" s="16">
        <v>1003</v>
      </c>
    </row>
    <row r="7" spans="2:15" ht="16.5" customHeight="1">
      <c r="B7" s="232" t="s">
        <v>59</v>
      </c>
      <c r="C7" s="17">
        <v>0</v>
      </c>
      <c r="D7" s="18">
        <f>MOD(($C7+$C$4*(D$6-1000)/D$5),$C$4)</f>
        <v>4</v>
      </c>
      <c r="E7" s="19">
        <f t="shared" ref="E7:G14" si="0">MOD(($C7+$C$4*(E$6-1000)/$E$5),$C$4)</f>
        <v>2</v>
      </c>
      <c r="F7" s="20">
        <f t="shared" si="0"/>
        <v>4</v>
      </c>
      <c r="G7" s="21">
        <f t="shared" si="0"/>
        <v>6</v>
      </c>
      <c r="J7" s="239" t="s">
        <v>59</v>
      </c>
      <c r="K7" s="22">
        <v>0</v>
      </c>
      <c r="L7" s="23">
        <f t="shared" ref="L7:L18" si="1">MOD(($K7+$K$4*(L$6-1000)/L$5),$K$4)</f>
        <v>6</v>
      </c>
      <c r="M7" s="24">
        <f>MOD(($K7+$K$4*(M$6-1000)/$M$5),$K$4)</f>
        <v>3</v>
      </c>
      <c r="N7" s="20">
        <f t="shared" ref="N7:O8" si="2">MOD(($K7+$K$4*(N$6-1000)/$M$5),$K$4)</f>
        <v>6</v>
      </c>
      <c r="O7" s="21">
        <f t="shared" si="2"/>
        <v>9</v>
      </c>
    </row>
    <row r="8" spans="2:15" ht="16.5">
      <c r="B8" s="233"/>
      <c r="C8" s="25">
        <v>4</v>
      </c>
      <c r="D8" s="26">
        <f>MOD(($C8+$C$4*(D$6-1000)/D$5),$C$4)</f>
        <v>0</v>
      </c>
      <c r="E8" s="27">
        <f>MOD(($C8+$C$4*(E$6-1000)/$E$5),$C$4)</f>
        <v>6</v>
      </c>
      <c r="F8" s="28">
        <f t="shared" si="0"/>
        <v>0</v>
      </c>
      <c r="G8" s="29">
        <f t="shared" si="0"/>
        <v>2</v>
      </c>
      <c r="J8" s="240"/>
      <c r="K8" s="25">
        <v>3</v>
      </c>
      <c r="L8" s="30">
        <f t="shared" si="1"/>
        <v>9</v>
      </c>
      <c r="M8" s="31">
        <f>MOD(($K8+$K$4*(M$6-1000)/$M$5),$K$4)</f>
        <v>6</v>
      </c>
      <c r="N8" s="28">
        <f t="shared" si="2"/>
        <v>9</v>
      </c>
      <c r="O8" s="29">
        <f t="shared" si="2"/>
        <v>0</v>
      </c>
    </row>
    <row r="9" spans="2:15" ht="16.5">
      <c r="B9" s="233"/>
      <c r="C9" s="25">
        <v>2</v>
      </c>
      <c r="D9" s="32">
        <f>MOD(($C9+$C$4*(D$6-1000)/D$5),$C$4)</f>
        <v>6</v>
      </c>
      <c r="E9" s="27">
        <f t="shared" si="0"/>
        <v>4</v>
      </c>
      <c r="F9" s="28">
        <f t="shared" si="0"/>
        <v>6</v>
      </c>
      <c r="G9" s="29">
        <f t="shared" si="0"/>
        <v>0</v>
      </c>
      <c r="J9" s="240"/>
      <c r="K9" s="25">
        <v>6</v>
      </c>
      <c r="L9" s="33">
        <f t="shared" si="1"/>
        <v>0</v>
      </c>
      <c r="M9" s="31">
        <f t="shared" ref="M9:O18" si="3">MOD(($K9+$K$4*(M$6-1000)/$M$5),$K$4)</f>
        <v>9</v>
      </c>
      <c r="N9" s="28">
        <f t="shared" si="3"/>
        <v>0</v>
      </c>
      <c r="O9" s="29">
        <f t="shared" si="3"/>
        <v>3</v>
      </c>
    </row>
    <row r="10" spans="2:15" ht="16.5">
      <c r="B10" s="233"/>
      <c r="C10" s="34">
        <v>6</v>
      </c>
      <c r="D10" s="26">
        <f>MOD(($C10+$C$4*(D$6-1000)/D$5),$C$4)</f>
        <v>2</v>
      </c>
      <c r="E10" s="27">
        <f t="shared" si="0"/>
        <v>0</v>
      </c>
      <c r="F10" s="28">
        <f t="shared" si="0"/>
        <v>2</v>
      </c>
      <c r="G10" s="29">
        <f t="shared" si="0"/>
        <v>4</v>
      </c>
      <c r="J10" s="240"/>
      <c r="K10" s="25">
        <v>9</v>
      </c>
      <c r="L10" s="33">
        <f t="shared" si="1"/>
        <v>3</v>
      </c>
      <c r="M10" s="31">
        <f t="shared" si="3"/>
        <v>0</v>
      </c>
      <c r="N10" s="28">
        <f t="shared" si="3"/>
        <v>3</v>
      </c>
      <c r="O10" s="29">
        <f t="shared" si="3"/>
        <v>6</v>
      </c>
    </row>
    <row r="11" spans="2:15" ht="16.5">
      <c r="B11" s="233"/>
      <c r="C11" s="34">
        <v>1</v>
      </c>
      <c r="D11" s="35">
        <f>MOD(($C11+$C$4*(D$6-1000)/D$5),$C$4)</f>
        <v>5</v>
      </c>
      <c r="E11" s="27">
        <f t="shared" si="0"/>
        <v>3</v>
      </c>
      <c r="F11" s="28">
        <f t="shared" si="0"/>
        <v>5</v>
      </c>
      <c r="G11" s="29">
        <f t="shared" si="0"/>
        <v>7</v>
      </c>
      <c r="J11" s="240"/>
      <c r="K11" s="25">
        <v>1</v>
      </c>
      <c r="L11" s="30">
        <f t="shared" si="1"/>
        <v>7</v>
      </c>
      <c r="M11" s="36">
        <f t="shared" si="3"/>
        <v>4</v>
      </c>
      <c r="N11" s="37">
        <f t="shared" si="3"/>
        <v>7</v>
      </c>
      <c r="O11" s="38">
        <f t="shared" si="3"/>
        <v>10</v>
      </c>
    </row>
    <row r="12" spans="2:15" ht="16.5">
      <c r="B12" s="233"/>
      <c r="C12" s="34">
        <v>5</v>
      </c>
      <c r="D12" s="26">
        <f t="shared" ref="D12:D14" si="4">MOD(($C12+$C$4*(D$6-1000)/D$5),$C$4)</f>
        <v>1</v>
      </c>
      <c r="E12" s="27">
        <f t="shared" si="0"/>
        <v>7</v>
      </c>
      <c r="F12" s="28">
        <f t="shared" si="0"/>
        <v>1</v>
      </c>
      <c r="G12" s="29">
        <f t="shared" si="0"/>
        <v>3</v>
      </c>
      <c r="J12" s="240"/>
      <c r="K12" s="25">
        <v>4</v>
      </c>
      <c r="L12" s="30">
        <f t="shared" si="1"/>
        <v>10</v>
      </c>
      <c r="M12" s="31">
        <f t="shared" si="3"/>
        <v>7</v>
      </c>
      <c r="N12" s="28">
        <f t="shared" si="3"/>
        <v>10</v>
      </c>
      <c r="O12" s="29">
        <f t="shared" si="3"/>
        <v>1</v>
      </c>
    </row>
    <row r="13" spans="2:15" ht="16.5">
      <c r="B13" s="233"/>
      <c r="C13" s="39">
        <v>3</v>
      </c>
      <c r="D13" s="26">
        <f>MOD(($C13+$C$4*(D$6-1000)/D$5),$C$4)</f>
        <v>7</v>
      </c>
      <c r="E13" s="27">
        <f t="shared" si="0"/>
        <v>5</v>
      </c>
      <c r="F13" s="28">
        <f t="shared" si="0"/>
        <v>7</v>
      </c>
      <c r="G13" s="29">
        <f t="shared" si="0"/>
        <v>1</v>
      </c>
      <c r="J13" s="240"/>
      <c r="K13" s="25">
        <v>7</v>
      </c>
      <c r="L13" s="33">
        <f t="shared" si="1"/>
        <v>1</v>
      </c>
      <c r="M13" s="31">
        <f t="shared" si="3"/>
        <v>10</v>
      </c>
      <c r="N13" s="28">
        <f t="shared" si="3"/>
        <v>1</v>
      </c>
      <c r="O13" s="29">
        <f t="shared" si="3"/>
        <v>4</v>
      </c>
    </row>
    <row r="14" spans="2:15" ht="17.25" thickBot="1">
      <c r="B14" s="234"/>
      <c r="C14" s="40">
        <v>7</v>
      </c>
      <c r="D14" s="41">
        <f t="shared" si="4"/>
        <v>3</v>
      </c>
      <c r="E14" s="42">
        <f t="shared" si="0"/>
        <v>1</v>
      </c>
      <c r="F14" s="43">
        <f t="shared" si="0"/>
        <v>3</v>
      </c>
      <c r="G14" s="44">
        <f t="shared" si="0"/>
        <v>5</v>
      </c>
      <c r="J14" s="240"/>
      <c r="K14" s="25">
        <v>10</v>
      </c>
      <c r="L14" s="33">
        <f t="shared" si="1"/>
        <v>4</v>
      </c>
      <c r="M14" s="31">
        <f t="shared" si="3"/>
        <v>1</v>
      </c>
      <c r="N14" s="28">
        <f t="shared" si="3"/>
        <v>4</v>
      </c>
      <c r="O14" s="29">
        <f t="shared" si="3"/>
        <v>7</v>
      </c>
    </row>
    <row r="15" spans="2:15" ht="16.5">
      <c r="B15" s="232" t="s">
        <v>64</v>
      </c>
      <c r="C15" s="45">
        <v>0</v>
      </c>
      <c r="D15" s="46">
        <f>C15</f>
        <v>0</v>
      </c>
      <c r="E15" s="47">
        <f>C15</f>
        <v>0</v>
      </c>
      <c r="F15" s="48">
        <f>C15</f>
        <v>0</v>
      </c>
      <c r="G15" s="49">
        <f>MOD(C15+$C$3/2,$C$3)</f>
        <v>1</v>
      </c>
      <c r="J15" s="240"/>
      <c r="K15" s="25">
        <v>2</v>
      </c>
      <c r="L15" s="50">
        <f t="shared" si="1"/>
        <v>8</v>
      </c>
      <c r="M15" s="31">
        <f t="shared" si="3"/>
        <v>5</v>
      </c>
      <c r="N15" s="28">
        <f t="shared" si="3"/>
        <v>8</v>
      </c>
      <c r="O15" s="29">
        <f t="shared" si="3"/>
        <v>11</v>
      </c>
    </row>
    <row r="16" spans="2:15" ht="17.25" thickBot="1">
      <c r="B16" s="234"/>
      <c r="C16" s="40">
        <v>1</v>
      </c>
      <c r="D16" s="51">
        <f>C16</f>
        <v>1</v>
      </c>
      <c r="E16" s="52">
        <f>C16</f>
        <v>1</v>
      </c>
      <c r="F16" s="53">
        <f>C16</f>
        <v>1</v>
      </c>
      <c r="G16" s="54">
        <f>MOD(C16+$C$3/2,$C$3)</f>
        <v>0</v>
      </c>
      <c r="J16" s="240"/>
      <c r="K16" s="55">
        <v>5</v>
      </c>
      <c r="L16" s="33">
        <f t="shared" si="1"/>
        <v>11</v>
      </c>
      <c r="M16" s="31">
        <f t="shared" si="3"/>
        <v>8</v>
      </c>
      <c r="N16" s="28">
        <f t="shared" si="3"/>
        <v>11</v>
      </c>
      <c r="O16" s="29">
        <f t="shared" si="3"/>
        <v>2</v>
      </c>
    </row>
    <row r="17" spans="10:15" ht="16.5">
      <c r="J17" s="240"/>
      <c r="K17" s="25">
        <v>8</v>
      </c>
      <c r="L17" s="33">
        <f t="shared" si="1"/>
        <v>2</v>
      </c>
      <c r="M17" s="31">
        <f t="shared" si="3"/>
        <v>11</v>
      </c>
      <c r="N17" s="28">
        <f t="shared" si="3"/>
        <v>2</v>
      </c>
      <c r="O17" s="29">
        <f t="shared" si="3"/>
        <v>5</v>
      </c>
    </row>
    <row r="18" spans="10:15" ht="17.25" thickBot="1">
      <c r="J18" s="241"/>
      <c r="K18" s="56">
        <v>11</v>
      </c>
      <c r="L18" s="57">
        <f t="shared" si="1"/>
        <v>5</v>
      </c>
      <c r="M18" s="58">
        <f t="shared" si="3"/>
        <v>2</v>
      </c>
      <c r="N18" s="59">
        <f t="shared" si="3"/>
        <v>5</v>
      </c>
      <c r="O18" s="60">
        <f t="shared" si="3"/>
        <v>8</v>
      </c>
    </row>
    <row r="19" spans="10:15" ht="16.5" customHeight="1">
      <c r="J19" s="239" t="s">
        <v>65</v>
      </c>
      <c r="K19" s="61">
        <v>0</v>
      </c>
      <c r="L19" s="62">
        <f>K19</f>
        <v>0</v>
      </c>
      <c r="M19" s="63">
        <f>K19</f>
        <v>0</v>
      </c>
      <c r="N19" s="64">
        <f>K19</f>
        <v>0</v>
      </c>
      <c r="O19" s="65">
        <f>MOD(K19+$K$3/2,$K$3)</f>
        <v>2</v>
      </c>
    </row>
    <row r="20" spans="10:15" ht="16.5">
      <c r="J20" s="240"/>
      <c r="K20" s="66">
        <v>1</v>
      </c>
      <c r="L20" s="67">
        <f>K20</f>
        <v>1</v>
      </c>
      <c r="M20" s="68">
        <f>K20</f>
        <v>1</v>
      </c>
      <c r="N20" s="69">
        <f>K20</f>
        <v>1</v>
      </c>
      <c r="O20" s="70">
        <f>MOD(K20+$K$3/2,$K$3)</f>
        <v>3</v>
      </c>
    </row>
    <row r="21" spans="10:15" ht="16.5">
      <c r="J21" s="240"/>
      <c r="K21" s="66">
        <v>2</v>
      </c>
      <c r="L21" s="67">
        <f>K21</f>
        <v>2</v>
      </c>
      <c r="M21" s="68">
        <f>K21</f>
        <v>2</v>
      </c>
      <c r="N21" s="69">
        <f>K21</f>
        <v>2</v>
      </c>
      <c r="O21" s="70">
        <f>MOD(K21+$K$3/2,$K$3)</f>
        <v>0</v>
      </c>
    </row>
    <row r="22" spans="10:15" ht="17.25" thickBot="1">
      <c r="J22" s="241"/>
      <c r="K22" s="40">
        <v>3</v>
      </c>
      <c r="L22" s="71">
        <f>K22</f>
        <v>3</v>
      </c>
      <c r="M22" s="52">
        <f>K22</f>
        <v>3</v>
      </c>
      <c r="N22" s="53">
        <f>K22</f>
        <v>3</v>
      </c>
      <c r="O22" s="54">
        <f>MOD(K22+$K$3/2,$K$3)</f>
        <v>1</v>
      </c>
    </row>
  </sheetData>
  <mergeCells count="11">
    <mergeCell ref="K3:O3"/>
    <mergeCell ref="C4:G4"/>
    <mergeCell ref="K4:O4"/>
    <mergeCell ref="E5:G5"/>
    <mergeCell ref="M5:O5"/>
    <mergeCell ref="B7:B14"/>
    <mergeCell ref="B15:B16"/>
    <mergeCell ref="B1:H1"/>
    <mergeCell ref="C3:G3"/>
    <mergeCell ref="J19:J22"/>
    <mergeCell ref="J7:J18"/>
  </mergeCells>
  <phoneticPr fontId="2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7" tint="-0.249977111117893"/>
  </sheetPr>
  <dimension ref="A1:I93"/>
  <sheetViews>
    <sheetView zoomScale="145" zoomScaleNormal="145" workbookViewId="0">
      <pane ySplit="3" topLeftCell="A4" activePane="bottomLeft" state="frozen"/>
      <selection pane="bottomLeft" sqref="A1:I1"/>
    </sheetView>
  </sheetViews>
  <sheetFormatPr defaultRowHeight="13.5"/>
  <cols>
    <col min="1" max="1" width="12.75" customWidth="1"/>
  </cols>
  <sheetData>
    <row r="1" spans="1:9" ht="14.25" thickBot="1">
      <c r="A1" s="257" t="s">
        <v>84</v>
      </c>
      <c r="B1" s="257"/>
      <c r="C1" s="257"/>
      <c r="D1" s="257"/>
      <c r="E1" s="257"/>
      <c r="F1" s="257"/>
      <c r="G1" s="257"/>
      <c r="H1" s="257"/>
      <c r="I1" s="257"/>
    </row>
    <row r="2" spans="1:9">
      <c r="A2" s="258"/>
      <c r="B2" s="260"/>
      <c r="C2" s="261"/>
      <c r="D2" s="260"/>
      <c r="E2" s="261"/>
      <c r="F2" s="260"/>
      <c r="G2" s="261"/>
      <c r="H2" s="260"/>
      <c r="I2" s="261"/>
    </row>
    <row r="3" spans="1:9" ht="14.25" thickBot="1">
      <c r="A3" s="259"/>
      <c r="B3" s="72"/>
      <c r="C3" s="73"/>
      <c r="D3" s="72"/>
      <c r="E3" s="73"/>
      <c r="F3" s="72"/>
      <c r="G3" s="73"/>
      <c r="H3" s="72"/>
      <c r="I3" s="73"/>
    </row>
    <row r="4" spans="1:9" ht="14.25" thickBot="1">
      <c r="A4" s="74">
        <v>0</v>
      </c>
      <c r="B4" s="75">
        <v>4</v>
      </c>
      <c r="C4" s="76">
        <v>1</v>
      </c>
      <c r="D4" s="75">
        <v>4</v>
      </c>
      <c r="E4" s="76">
        <v>1</v>
      </c>
      <c r="F4" s="75">
        <v>4</v>
      </c>
      <c r="G4" s="76">
        <v>1</v>
      </c>
      <c r="H4" s="75">
        <v>4</v>
      </c>
      <c r="I4" s="76">
        <v>1</v>
      </c>
    </row>
    <row r="5" spans="1:9" ht="14.25" thickBot="1">
      <c r="A5" s="74">
        <v>1</v>
      </c>
      <c r="B5" s="75">
        <v>8</v>
      </c>
      <c r="C5" s="76">
        <v>1</v>
      </c>
      <c r="D5" s="75">
        <v>4</v>
      </c>
      <c r="E5" s="76">
        <v>2</v>
      </c>
      <c r="F5" s="75">
        <v>4</v>
      </c>
      <c r="G5" s="76">
        <v>1</v>
      </c>
      <c r="H5" s="75">
        <v>4</v>
      </c>
      <c r="I5" s="76">
        <v>1</v>
      </c>
    </row>
    <row r="6" spans="1:9" ht="14.25" thickBot="1">
      <c r="A6" s="74">
        <v>2</v>
      </c>
      <c r="B6" s="75">
        <v>12</v>
      </c>
      <c r="C6" s="76">
        <v>1</v>
      </c>
      <c r="D6" s="75">
        <v>4</v>
      </c>
      <c r="E6" s="76">
        <v>3</v>
      </c>
      <c r="F6" s="75">
        <v>4</v>
      </c>
      <c r="G6" s="76">
        <v>1</v>
      </c>
      <c r="H6" s="75">
        <v>4</v>
      </c>
      <c r="I6" s="76">
        <v>1</v>
      </c>
    </row>
    <row r="7" spans="1:9" ht="14.25" thickBot="1">
      <c r="A7" s="74">
        <v>3</v>
      </c>
      <c r="B7" s="75">
        <v>16</v>
      </c>
      <c r="C7" s="76">
        <v>1</v>
      </c>
      <c r="D7" s="75">
        <v>4</v>
      </c>
      <c r="E7" s="76">
        <v>4</v>
      </c>
      <c r="F7" s="75">
        <v>4</v>
      </c>
      <c r="G7" s="76">
        <v>1</v>
      </c>
      <c r="H7" s="75">
        <v>4</v>
      </c>
      <c r="I7" s="76">
        <v>1</v>
      </c>
    </row>
    <row r="8" spans="1:9" ht="14.25" thickBot="1">
      <c r="A8" s="74">
        <v>4</v>
      </c>
      <c r="B8" s="75">
        <v>16</v>
      </c>
      <c r="C8" s="76">
        <v>1</v>
      </c>
      <c r="D8" s="75">
        <v>8</v>
      </c>
      <c r="E8" s="76">
        <v>2</v>
      </c>
      <c r="F8" s="75">
        <v>4</v>
      </c>
      <c r="G8" s="76">
        <v>2</v>
      </c>
      <c r="H8" s="75">
        <v>4</v>
      </c>
      <c r="I8" s="76">
        <v>1</v>
      </c>
    </row>
    <row r="9" spans="1:9" ht="14.25" thickBot="1">
      <c r="A9" s="74">
        <v>5</v>
      </c>
      <c r="B9" s="75">
        <v>20</v>
      </c>
      <c r="C9" s="76">
        <v>1</v>
      </c>
      <c r="D9" s="75">
        <v>4</v>
      </c>
      <c r="E9" s="76">
        <v>5</v>
      </c>
      <c r="F9" s="75">
        <v>4</v>
      </c>
      <c r="G9" s="76">
        <v>1</v>
      </c>
      <c r="H9" s="75">
        <v>4</v>
      </c>
      <c r="I9" s="76">
        <v>1</v>
      </c>
    </row>
    <row r="10" spans="1:9" ht="14.25" thickBot="1">
      <c r="A10" s="74">
        <v>6</v>
      </c>
      <c r="B10" s="75">
        <v>24</v>
      </c>
      <c r="C10" s="76">
        <v>1</v>
      </c>
      <c r="D10" s="75">
        <v>4</v>
      </c>
      <c r="E10" s="76">
        <v>6</v>
      </c>
      <c r="F10" s="75">
        <v>4</v>
      </c>
      <c r="G10" s="76">
        <v>1</v>
      </c>
      <c r="H10" s="75">
        <v>4</v>
      </c>
      <c r="I10" s="76">
        <v>1</v>
      </c>
    </row>
    <row r="11" spans="1:9" ht="14.25" thickBot="1">
      <c r="A11" s="74">
        <v>7</v>
      </c>
      <c r="B11" s="75">
        <v>24</v>
      </c>
      <c r="C11" s="76">
        <v>1</v>
      </c>
      <c r="D11" s="75">
        <v>12</v>
      </c>
      <c r="E11" s="76">
        <v>2</v>
      </c>
      <c r="F11" s="75">
        <v>4</v>
      </c>
      <c r="G11" s="76">
        <v>3</v>
      </c>
      <c r="H11" s="75">
        <v>4</v>
      </c>
      <c r="I11" s="76">
        <v>1</v>
      </c>
    </row>
    <row r="12" spans="1:9" ht="14.25" thickBot="1">
      <c r="A12" s="74">
        <v>8</v>
      </c>
      <c r="B12" s="75">
        <v>28</v>
      </c>
      <c r="C12" s="76">
        <v>1</v>
      </c>
      <c r="D12" s="75">
        <v>4</v>
      </c>
      <c r="E12" s="76">
        <v>7</v>
      </c>
      <c r="F12" s="75">
        <v>4</v>
      </c>
      <c r="G12" s="76">
        <v>1</v>
      </c>
      <c r="H12" s="75">
        <v>4</v>
      </c>
      <c r="I12" s="76">
        <v>1</v>
      </c>
    </row>
    <row r="13" spans="1:9" ht="14.25" thickBot="1">
      <c r="A13" s="74">
        <v>9</v>
      </c>
      <c r="B13" s="75">
        <v>32</v>
      </c>
      <c r="C13" s="76">
        <v>1</v>
      </c>
      <c r="D13" s="75">
        <v>16</v>
      </c>
      <c r="E13" s="76">
        <v>2</v>
      </c>
      <c r="F13" s="75">
        <v>8</v>
      </c>
      <c r="G13" s="76">
        <v>2</v>
      </c>
      <c r="H13" s="75">
        <v>4</v>
      </c>
      <c r="I13" s="76">
        <v>2</v>
      </c>
    </row>
    <row r="14" spans="1:9" ht="14.25" thickBot="1">
      <c r="A14" s="74">
        <v>10</v>
      </c>
      <c r="B14" s="75">
        <v>36</v>
      </c>
      <c r="C14" s="76">
        <v>1</v>
      </c>
      <c r="D14" s="75">
        <v>12</v>
      </c>
      <c r="E14" s="76">
        <v>3</v>
      </c>
      <c r="F14" s="75">
        <v>4</v>
      </c>
      <c r="G14" s="76">
        <v>3</v>
      </c>
      <c r="H14" s="75">
        <v>4</v>
      </c>
      <c r="I14" s="76">
        <v>1</v>
      </c>
    </row>
    <row r="15" spans="1:9" ht="14.25" thickBot="1">
      <c r="A15" s="74">
        <v>11</v>
      </c>
      <c r="B15" s="75">
        <v>40</v>
      </c>
      <c r="C15" s="76">
        <v>1</v>
      </c>
      <c r="D15" s="75">
        <v>20</v>
      </c>
      <c r="E15" s="76">
        <v>2</v>
      </c>
      <c r="F15" s="75">
        <v>4</v>
      </c>
      <c r="G15" s="76">
        <v>5</v>
      </c>
      <c r="H15" s="75">
        <v>4</v>
      </c>
      <c r="I15" s="76">
        <v>1</v>
      </c>
    </row>
    <row r="16" spans="1:9" ht="14.25" thickBot="1">
      <c r="A16" s="74">
        <v>12</v>
      </c>
      <c r="B16" s="75">
        <v>48</v>
      </c>
      <c r="C16" s="76">
        <v>1</v>
      </c>
      <c r="D16" s="75">
        <v>16</v>
      </c>
      <c r="E16" s="76">
        <v>3</v>
      </c>
      <c r="F16" s="75">
        <v>8</v>
      </c>
      <c r="G16" s="76">
        <v>2</v>
      </c>
      <c r="H16" s="75">
        <v>4</v>
      </c>
      <c r="I16" s="76">
        <v>2</v>
      </c>
    </row>
    <row r="17" spans="1:9" ht="14.25" thickBot="1">
      <c r="A17" s="74">
        <v>13</v>
      </c>
      <c r="B17" s="75">
        <v>48</v>
      </c>
      <c r="C17" s="76">
        <v>1</v>
      </c>
      <c r="D17" s="75">
        <v>24</v>
      </c>
      <c r="E17" s="76">
        <v>2</v>
      </c>
      <c r="F17" s="75">
        <v>12</v>
      </c>
      <c r="G17" s="76">
        <v>2</v>
      </c>
      <c r="H17" s="75">
        <v>4</v>
      </c>
      <c r="I17" s="76">
        <v>3</v>
      </c>
    </row>
    <row r="18" spans="1:9" ht="14.25" thickBot="1">
      <c r="A18" s="74">
        <v>14</v>
      </c>
      <c r="B18" s="75">
        <v>52</v>
      </c>
      <c r="C18" s="76">
        <v>1</v>
      </c>
      <c r="D18" s="75">
        <v>4</v>
      </c>
      <c r="E18" s="76">
        <v>13</v>
      </c>
      <c r="F18" s="75">
        <v>4</v>
      </c>
      <c r="G18" s="76">
        <v>1</v>
      </c>
      <c r="H18" s="75">
        <v>4</v>
      </c>
      <c r="I18" s="76">
        <v>1</v>
      </c>
    </row>
    <row r="19" spans="1:9" ht="14.25" thickBot="1">
      <c r="A19" s="74">
        <v>15</v>
      </c>
      <c r="B19" s="75">
        <v>56</v>
      </c>
      <c r="C19" s="76">
        <v>1</v>
      </c>
      <c r="D19" s="75">
        <v>28</v>
      </c>
      <c r="E19" s="76">
        <v>2</v>
      </c>
      <c r="F19" s="75">
        <v>4</v>
      </c>
      <c r="G19" s="76">
        <v>7</v>
      </c>
      <c r="H19" s="75">
        <v>4</v>
      </c>
      <c r="I19" s="76">
        <v>1</v>
      </c>
    </row>
    <row r="20" spans="1:9" ht="14.25" thickBot="1">
      <c r="A20" s="74">
        <v>16</v>
      </c>
      <c r="B20" s="75">
        <v>60</v>
      </c>
      <c r="C20" s="76">
        <v>1</v>
      </c>
      <c r="D20" s="75">
        <v>20</v>
      </c>
      <c r="E20" s="76">
        <v>3</v>
      </c>
      <c r="F20" s="75">
        <v>4</v>
      </c>
      <c r="G20" s="76">
        <v>5</v>
      </c>
      <c r="H20" s="75">
        <v>4</v>
      </c>
      <c r="I20" s="76">
        <v>1</v>
      </c>
    </row>
    <row r="21" spans="1:9" ht="14.25" thickBot="1">
      <c r="A21" s="74">
        <v>17</v>
      </c>
      <c r="B21" s="75">
        <v>64</v>
      </c>
      <c r="C21" s="76">
        <v>1</v>
      </c>
      <c r="D21" s="75">
        <v>32</v>
      </c>
      <c r="E21" s="76">
        <v>2</v>
      </c>
      <c r="F21" s="75">
        <v>16</v>
      </c>
      <c r="G21" s="76">
        <v>2</v>
      </c>
      <c r="H21" s="75">
        <v>4</v>
      </c>
      <c r="I21" s="76">
        <v>4</v>
      </c>
    </row>
    <row r="22" spans="1:9" ht="14.25" thickBot="1">
      <c r="A22" s="77">
        <v>18</v>
      </c>
      <c r="B22" s="78">
        <v>72</v>
      </c>
      <c r="C22" s="78">
        <v>1</v>
      </c>
      <c r="D22" s="78">
        <v>24</v>
      </c>
      <c r="E22" s="78">
        <v>3</v>
      </c>
      <c r="F22" s="75">
        <v>12</v>
      </c>
      <c r="G22" s="76">
        <v>2</v>
      </c>
      <c r="H22" s="75">
        <v>4</v>
      </c>
      <c r="I22" s="76">
        <v>3</v>
      </c>
    </row>
    <row r="23" spans="1:9" ht="14.25" thickBot="1">
      <c r="A23" s="74">
        <v>19</v>
      </c>
      <c r="B23" s="75">
        <v>72</v>
      </c>
      <c r="C23" s="76">
        <v>1</v>
      </c>
      <c r="D23" s="75">
        <v>36</v>
      </c>
      <c r="E23" s="76">
        <v>2</v>
      </c>
      <c r="F23" s="75">
        <v>12</v>
      </c>
      <c r="G23" s="76">
        <v>3</v>
      </c>
      <c r="H23" s="75">
        <v>4</v>
      </c>
      <c r="I23" s="76">
        <v>3</v>
      </c>
    </row>
    <row r="24" spans="1:9" ht="14.25" thickBot="1">
      <c r="A24" s="74">
        <v>20</v>
      </c>
      <c r="B24" s="75">
        <v>76</v>
      </c>
      <c r="C24" s="76">
        <v>1</v>
      </c>
      <c r="D24" s="75">
        <v>4</v>
      </c>
      <c r="E24" s="76">
        <v>19</v>
      </c>
      <c r="F24" s="75">
        <v>4</v>
      </c>
      <c r="G24" s="76">
        <v>1</v>
      </c>
      <c r="H24" s="75">
        <v>4</v>
      </c>
      <c r="I24" s="76">
        <v>1</v>
      </c>
    </row>
    <row r="25" spans="1:9" ht="14.25" thickBot="1">
      <c r="A25" s="74">
        <v>21</v>
      </c>
      <c r="B25" s="75">
        <v>80</v>
      </c>
      <c r="C25" s="76">
        <v>1</v>
      </c>
      <c r="D25" s="75">
        <v>40</v>
      </c>
      <c r="E25" s="76">
        <v>2</v>
      </c>
      <c r="F25" s="75">
        <v>20</v>
      </c>
      <c r="G25" s="76">
        <v>2</v>
      </c>
      <c r="H25" s="75">
        <v>4</v>
      </c>
      <c r="I25" s="76">
        <v>5</v>
      </c>
    </row>
    <row r="26" spans="1:9" ht="14.25" thickBot="1">
      <c r="A26" s="74">
        <v>22</v>
      </c>
      <c r="B26" s="75">
        <v>88</v>
      </c>
      <c r="C26" s="76">
        <v>1</v>
      </c>
      <c r="D26" s="75">
        <v>44</v>
      </c>
      <c r="E26" s="76">
        <v>2</v>
      </c>
      <c r="F26" s="75">
        <v>4</v>
      </c>
      <c r="G26" s="76">
        <v>11</v>
      </c>
      <c r="H26" s="75">
        <v>4</v>
      </c>
      <c r="I26" s="76">
        <v>1</v>
      </c>
    </row>
    <row r="27" spans="1:9" ht="14.25" thickBot="1">
      <c r="A27" s="74">
        <v>23</v>
      </c>
      <c r="B27" s="75">
        <v>96</v>
      </c>
      <c r="C27" s="76">
        <v>1</v>
      </c>
      <c r="D27" s="75">
        <v>32</v>
      </c>
      <c r="E27" s="76">
        <v>3</v>
      </c>
      <c r="F27" s="75">
        <v>16</v>
      </c>
      <c r="G27" s="76">
        <v>2</v>
      </c>
      <c r="H27" s="75">
        <v>4</v>
      </c>
      <c r="I27" s="76">
        <v>4</v>
      </c>
    </row>
    <row r="28" spans="1:9" ht="14.25" thickBot="1">
      <c r="A28" s="74">
        <v>24</v>
      </c>
      <c r="B28" s="75">
        <v>96</v>
      </c>
      <c r="C28" s="76">
        <v>1</v>
      </c>
      <c r="D28" s="75">
        <v>48</v>
      </c>
      <c r="E28" s="76">
        <v>2</v>
      </c>
      <c r="F28" s="75">
        <v>24</v>
      </c>
      <c r="G28" s="76">
        <v>2</v>
      </c>
      <c r="H28" s="75">
        <v>4</v>
      </c>
      <c r="I28" s="76">
        <v>6</v>
      </c>
    </row>
    <row r="29" spans="1:9" ht="14.25" thickBot="1">
      <c r="A29" s="74">
        <v>25</v>
      </c>
      <c r="B29" s="75">
        <v>104</v>
      </c>
      <c r="C29" s="76">
        <v>1</v>
      </c>
      <c r="D29" s="75">
        <v>52</v>
      </c>
      <c r="E29" s="76">
        <v>2</v>
      </c>
      <c r="F29" s="75">
        <v>4</v>
      </c>
      <c r="G29" s="76">
        <v>13</v>
      </c>
      <c r="H29" s="75">
        <v>4</v>
      </c>
      <c r="I29" s="76">
        <v>1</v>
      </c>
    </row>
    <row r="30" spans="1:9" ht="14.25" thickBot="1">
      <c r="A30" s="74">
        <v>26</v>
      </c>
      <c r="B30" s="75">
        <v>112</v>
      </c>
      <c r="C30" s="76">
        <v>1</v>
      </c>
      <c r="D30" s="75">
        <v>56</v>
      </c>
      <c r="E30" s="76">
        <v>2</v>
      </c>
      <c r="F30" s="75">
        <v>28</v>
      </c>
      <c r="G30" s="76">
        <v>2</v>
      </c>
      <c r="H30" s="75">
        <v>4</v>
      </c>
      <c r="I30" s="76">
        <v>7</v>
      </c>
    </row>
    <row r="31" spans="1:9" ht="14.25" thickBot="1">
      <c r="A31" s="74">
        <v>27</v>
      </c>
      <c r="B31" s="75">
        <v>120</v>
      </c>
      <c r="C31" s="76">
        <v>1</v>
      </c>
      <c r="D31" s="75">
        <v>60</v>
      </c>
      <c r="E31" s="76">
        <v>2</v>
      </c>
      <c r="F31" s="75">
        <v>20</v>
      </c>
      <c r="G31" s="76">
        <v>3</v>
      </c>
      <c r="H31" s="75">
        <v>4</v>
      </c>
      <c r="I31" s="76">
        <v>5</v>
      </c>
    </row>
    <row r="32" spans="1:9" ht="14.25" thickBot="1">
      <c r="A32" s="74">
        <v>28</v>
      </c>
      <c r="B32" s="75">
        <v>120</v>
      </c>
      <c r="C32" s="76">
        <v>1</v>
      </c>
      <c r="D32" s="75">
        <v>40</v>
      </c>
      <c r="E32" s="76">
        <v>3</v>
      </c>
      <c r="F32" s="75">
        <v>8</v>
      </c>
      <c r="G32" s="76">
        <v>5</v>
      </c>
      <c r="H32" s="75">
        <v>4</v>
      </c>
      <c r="I32" s="76">
        <v>2</v>
      </c>
    </row>
    <row r="33" spans="1:9" ht="14.25" thickBot="1">
      <c r="A33" s="74">
        <v>29</v>
      </c>
      <c r="B33" s="75">
        <v>120</v>
      </c>
      <c r="C33" s="76">
        <v>1</v>
      </c>
      <c r="D33" s="75">
        <v>24</v>
      </c>
      <c r="E33" s="76">
        <v>5</v>
      </c>
      <c r="F33" s="75">
        <v>12</v>
      </c>
      <c r="G33" s="76">
        <v>2</v>
      </c>
      <c r="H33" s="75">
        <v>4</v>
      </c>
      <c r="I33" s="76">
        <v>3</v>
      </c>
    </row>
    <row r="34" spans="1:9" ht="14.25" thickBot="1">
      <c r="A34" s="77">
        <v>30</v>
      </c>
      <c r="B34" s="78">
        <v>128</v>
      </c>
      <c r="C34" s="78">
        <v>1</v>
      </c>
      <c r="D34" s="78">
        <v>64</v>
      </c>
      <c r="E34" s="78">
        <v>2</v>
      </c>
      <c r="F34" s="78">
        <v>32</v>
      </c>
      <c r="G34" s="78">
        <v>2</v>
      </c>
      <c r="H34" s="75">
        <v>4</v>
      </c>
      <c r="I34" s="76">
        <v>8</v>
      </c>
    </row>
    <row r="35" spans="1:9" ht="14.25" thickBot="1">
      <c r="A35" s="74">
        <v>31</v>
      </c>
      <c r="B35" s="75">
        <v>128</v>
      </c>
      <c r="C35" s="76">
        <v>1</v>
      </c>
      <c r="D35" s="75">
        <v>64</v>
      </c>
      <c r="E35" s="76">
        <v>2</v>
      </c>
      <c r="F35" s="75">
        <v>16</v>
      </c>
      <c r="G35" s="76">
        <v>4</v>
      </c>
      <c r="H35" s="75">
        <v>4</v>
      </c>
      <c r="I35" s="76">
        <v>4</v>
      </c>
    </row>
    <row r="36" spans="1:9" ht="14.25" thickBot="1">
      <c r="A36" s="74">
        <v>32</v>
      </c>
      <c r="B36" s="75">
        <v>128</v>
      </c>
      <c r="C36" s="76">
        <v>1</v>
      </c>
      <c r="D36" s="75">
        <v>16</v>
      </c>
      <c r="E36" s="76">
        <v>8</v>
      </c>
      <c r="F36" s="75">
        <v>8</v>
      </c>
      <c r="G36" s="76">
        <v>2</v>
      </c>
      <c r="H36" s="75">
        <v>4</v>
      </c>
      <c r="I36" s="76">
        <v>2</v>
      </c>
    </row>
    <row r="37" spans="1:9" ht="14.25" thickBot="1">
      <c r="A37" s="74">
        <v>33</v>
      </c>
      <c r="B37" s="75">
        <v>132</v>
      </c>
      <c r="C37" s="76">
        <v>1</v>
      </c>
      <c r="D37" s="75">
        <v>44</v>
      </c>
      <c r="E37" s="76">
        <v>3</v>
      </c>
      <c r="F37" s="75">
        <v>4</v>
      </c>
      <c r="G37" s="76">
        <v>11</v>
      </c>
      <c r="H37" s="75">
        <v>4</v>
      </c>
      <c r="I37" s="76">
        <v>1</v>
      </c>
    </row>
    <row r="38" spans="1:9" ht="14.25" thickBot="1">
      <c r="A38" s="74">
        <v>34</v>
      </c>
      <c r="B38" s="75">
        <v>136</v>
      </c>
      <c r="C38" s="76">
        <v>1</v>
      </c>
      <c r="D38" s="75">
        <v>68</v>
      </c>
      <c r="E38" s="76">
        <v>2</v>
      </c>
      <c r="F38" s="75">
        <v>4</v>
      </c>
      <c r="G38" s="76">
        <v>17</v>
      </c>
      <c r="H38" s="75">
        <v>4</v>
      </c>
      <c r="I38" s="76">
        <v>1</v>
      </c>
    </row>
    <row r="39" spans="1:9" ht="14.25" thickBot="1">
      <c r="A39" s="74">
        <v>35</v>
      </c>
      <c r="B39" s="75">
        <v>144</v>
      </c>
      <c r="C39" s="76">
        <v>1</v>
      </c>
      <c r="D39" s="75">
        <v>72</v>
      </c>
      <c r="E39" s="76">
        <v>2</v>
      </c>
      <c r="F39" s="75">
        <v>36</v>
      </c>
      <c r="G39" s="76">
        <v>2</v>
      </c>
      <c r="H39" s="75">
        <v>4</v>
      </c>
      <c r="I39" s="76">
        <v>9</v>
      </c>
    </row>
    <row r="40" spans="1:9" ht="14.25" thickBot="1">
      <c r="A40" s="74">
        <v>36</v>
      </c>
      <c r="B40" s="75">
        <v>144</v>
      </c>
      <c r="C40" s="76">
        <v>1</v>
      </c>
      <c r="D40" s="75">
        <v>48</v>
      </c>
      <c r="E40" s="76">
        <v>3</v>
      </c>
      <c r="F40" s="75">
        <v>24</v>
      </c>
      <c r="G40" s="76">
        <v>2</v>
      </c>
      <c r="H40" s="75">
        <v>12</v>
      </c>
      <c r="I40" s="76">
        <v>2</v>
      </c>
    </row>
    <row r="41" spans="1:9" ht="14.25" thickBot="1">
      <c r="A41" s="74">
        <v>37</v>
      </c>
      <c r="B41" s="75">
        <v>144</v>
      </c>
      <c r="C41" s="76">
        <v>1</v>
      </c>
      <c r="D41" s="75">
        <v>48</v>
      </c>
      <c r="E41" s="76">
        <v>3</v>
      </c>
      <c r="F41" s="75">
        <v>16</v>
      </c>
      <c r="G41" s="76">
        <v>3</v>
      </c>
      <c r="H41" s="75">
        <v>4</v>
      </c>
      <c r="I41" s="76">
        <v>4</v>
      </c>
    </row>
    <row r="42" spans="1:9" ht="14.25" thickBot="1">
      <c r="A42" s="74">
        <v>38</v>
      </c>
      <c r="B42" s="75">
        <v>144</v>
      </c>
      <c r="C42" s="76">
        <v>1</v>
      </c>
      <c r="D42" s="75">
        <v>16</v>
      </c>
      <c r="E42" s="76">
        <v>9</v>
      </c>
      <c r="F42" s="75">
        <v>8</v>
      </c>
      <c r="G42" s="76">
        <v>2</v>
      </c>
      <c r="H42" s="75">
        <v>4</v>
      </c>
      <c r="I42" s="76">
        <v>2</v>
      </c>
    </row>
    <row r="43" spans="1:9" ht="14.25" thickBot="1">
      <c r="A43" s="74">
        <v>39</v>
      </c>
      <c r="B43" s="75">
        <v>152</v>
      </c>
      <c r="C43" s="76">
        <v>1</v>
      </c>
      <c r="D43" s="75">
        <v>76</v>
      </c>
      <c r="E43" s="76">
        <v>2</v>
      </c>
      <c r="F43" s="75">
        <v>4</v>
      </c>
      <c r="G43" s="76">
        <v>19</v>
      </c>
      <c r="H43" s="75">
        <v>4</v>
      </c>
      <c r="I43" s="76">
        <v>1</v>
      </c>
    </row>
    <row r="44" spans="1:9" ht="14.25" thickBot="1">
      <c r="A44" s="74">
        <v>40</v>
      </c>
      <c r="B44" s="75">
        <v>160</v>
      </c>
      <c r="C44" s="76">
        <v>1</v>
      </c>
      <c r="D44" s="75">
        <v>80</v>
      </c>
      <c r="E44" s="76">
        <v>2</v>
      </c>
      <c r="F44" s="75">
        <v>40</v>
      </c>
      <c r="G44" s="76">
        <v>2</v>
      </c>
      <c r="H44" s="75">
        <v>4</v>
      </c>
      <c r="I44" s="76">
        <v>10</v>
      </c>
    </row>
    <row r="45" spans="1:9" ht="14.25" thickBot="1">
      <c r="A45" s="74">
        <v>41</v>
      </c>
      <c r="B45" s="75">
        <v>160</v>
      </c>
      <c r="C45" s="76">
        <v>1</v>
      </c>
      <c r="D45" s="75">
        <v>80</v>
      </c>
      <c r="E45" s="76">
        <v>2</v>
      </c>
      <c r="F45" s="75">
        <v>20</v>
      </c>
      <c r="G45" s="76">
        <v>4</v>
      </c>
      <c r="H45" s="75">
        <v>4</v>
      </c>
      <c r="I45" s="76">
        <v>5</v>
      </c>
    </row>
    <row r="46" spans="1:9" ht="14.25" thickBot="1">
      <c r="A46" s="74">
        <v>42</v>
      </c>
      <c r="B46" s="75">
        <v>160</v>
      </c>
      <c r="C46" s="76">
        <v>1</v>
      </c>
      <c r="D46" s="75">
        <v>32</v>
      </c>
      <c r="E46" s="76">
        <v>5</v>
      </c>
      <c r="F46" s="75">
        <v>16</v>
      </c>
      <c r="G46" s="76">
        <v>2</v>
      </c>
      <c r="H46" s="75">
        <v>4</v>
      </c>
      <c r="I46" s="76">
        <v>4</v>
      </c>
    </row>
    <row r="47" spans="1:9" ht="14.25" thickBot="1">
      <c r="A47" s="74">
        <v>43</v>
      </c>
      <c r="B47" s="75">
        <v>168</v>
      </c>
      <c r="C47" s="76">
        <v>1</v>
      </c>
      <c r="D47" s="75">
        <v>84</v>
      </c>
      <c r="E47" s="76">
        <v>2</v>
      </c>
      <c r="F47" s="75">
        <v>28</v>
      </c>
      <c r="G47" s="76">
        <v>3</v>
      </c>
      <c r="H47" s="75">
        <v>4</v>
      </c>
      <c r="I47" s="76">
        <v>7</v>
      </c>
    </row>
    <row r="48" spans="1:9" ht="14.25" thickBot="1">
      <c r="A48" s="74">
        <v>44</v>
      </c>
      <c r="B48" s="75">
        <v>176</v>
      </c>
      <c r="C48" s="76">
        <v>1</v>
      </c>
      <c r="D48" s="75">
        <v>88</v>
      </c>
      <c r="E48" s="76">
        <v>2</v>
      </c>
      <c r="F48" s="75">
        <v>44</v>
      </c>
      <c r="G48" s="76">
        <v>2</v>
      </c>
      <c r="H48" s="75">
        <v>4</v>
      </c>
      <c r="I48" s="76">
        <v>11</v>
      </c>
    </row>
    <row r="49" spans="1:9" ht="14.25" thickBot="1">
      <c r="A49" s="74">
        <v>45</v>
      </c>
      <c r="B49" s="75">
        <v>184</v>
      </c>
      <c r="C49" s="76">
        <v>1</v>
      </c>
      <c r="D49" s="75">
        <v>92</v>
      </c>
      <c r="E49" s="76">
        <v>2</v>
      </c>
      <c r="F49" s="75">
        <v>4</v>
      </c>
      <c r="G49" s="76">
        <v>23</v>
      </c>
      <c r="H49" s="75">
        <v>4</v>
      </c>
      <c r="I49" s="76">
        <v>1</v>
      </c>
    </row>
    <row r="50" spans="1:9" ht="14.25" thickBot="1">
      <c r="A50" s="74">
        <v>46</v>
      </c>
      <c r="B50" s="75">
        <v>192</v>
      </c>
      <c r="C50" s="76">
        <v>1</v>
      </c>
      <c r="D50" s="75">
        <v>96</v>
      </c>
      <c r="E50" s="76">
        <v>2</v>
      </c>
      <c r="F50" s="75">
        <v>48</v>
      </c>
      <c r="G50" s="76">
        <v>2</v>
      </c>
      <c r="H50" s="75">
        <v>4</v>
      </c>
      <c r="I50" s="76">
        <v>12</v>
      </c>
    </row>
    <row r="51" spans="1:9" ht="14.25" thickBot="1">
      <c r="A51" s="74">
        <v>47</v>
      </c>
      <c r="B51" s="75">
        <v>192</v>
      </c>
      <c r="C51" s="76">
        <v>1</v>
      </c>
      <c r="D51" s="75">
        <v>96</v>
      </c>
      <c r="E51" s="76">
        <v>2</v>
      </c>
      <c r="F51" s="75">
        <v>24</v>
      </c>
      <c r="G51" s="76">
        <v>4</v>
      </c>
      <c r="H51" s="75">
        <v>4</v>
      </c>
      <c r="I51" s="76">
        <v>6</v>
      </c>
    </row>
    <row r="52" spans="1:9" ht="14.25" thickBot="1">
      <c r="A52" s="74">
        <v>48</v>
      </c>
      <c r="B52" s="75">
        <v>192</v>
      </c>
      <c r="C52" s="76">
        <v>1</v>
      </c>
      <c r="D52" s="75">
        <v>64</v>
      </c>
      <c r="E52" s="76">
        <v>3</v>
      </c>
      <c r="F52" s="75">
        <v>16</v>
      </c>
      <c r="G52" s="76">
        <v>4</v>
      </c>
      <c r="H52" s="75">
        <v>4</v>
      </c>
      <c r="I52" s="76">
        <v>4</v>
      </c>
    </row>
    <row r="53" spans="1:9" ht="14.25" thickBot="1">
      <c r="A53" s="74">
        <v>49</v>
      </c>
      <c r="B53" s="75">
        <v>192</v>
      </c>
      <c r="C53" s="76">
        <v>1</v>
      </c>
      <c r="D53" s="75">
        <v>24</v>
      </c>
      <c r="E53" s="76">
        <v>8</v>
      </c>
      <c r="F53" s="75">
        <v>8</v>
      </c>
      <c r="G53" s="76">
        <v>3</v>
      </c>
      <c r="H53" s="75">
        <v>4</v>
      </c>
      <c r="I53" s="76">
        <v>2</v>
      </c>
    </row>
    <row r="54" spans="1:9" ht="14.25" thickBot="1">
      <c r="A54" s="74">
        <v>50</v>
      </c>
      <c r="B54" s="75">
        <v>208</v>
      </c>
      <c r="C54" s="76">
        <v>1</v>
      </c>
      <c r="D54" s="75">
        <v>104</v>
      </c>
      <c r="E54" s="76">
        <v>2</v>
      </c>
      <c r="F54" s="75">
        <v>52</v>
      </c>
      <c r="G54" s="76">
        <v>2</v>
      </c>
      <c r="H54" s="75">
        <v>4</v>
      </c>
      <c r="I54" s="76">
        <v>13</v>
      </c>
    </row>
    <row r="55" spans="1:9" ht="14.25" thickBot="1">
      <c r="A55" s="74">
        <v>51</v>
      </c>
      <c r="B55" s="75">
        <v>216</v>
      </c>
      <c r="C55" s="76">
        <v>1</v>
      </c>
      <c r="D55" s="75">
        <v>108</v>
      </c>
      <c r="E55" s="76">
        <v>2</v>
      </c>
      <c r="F55" s="75">
        <v>36</v>
      </c>
      <c r="G55" s="76">
        <v>3</v>
      </c>
      <c r="H55" s="75">
        <v>4</v>
      </c>
      <c r="I55" s="76">
        <v>9</v>
      </c>
    </row>
    <row r="56" spans="1:9" ht="14.25" thickBot="1">
      <c r="A56" s="74">
        <v>52</v>
      </c>
      <c r="B56" s="75">
        <v>224</v>
      </c>
      <c r="C56" s="76">
        <v>1</v>
      </c>
      <c r="D56" s="75">
        <v>112</v>
      </c>
      <c r="E56" s="76">
        <v>2</v>
      </c>
      <c r="F56" s="75">
        <v>56</v>
      </c>
      <c r="G56" s="76">
        <v>2</v>
      </c>
      <c r="H56" s="75">
        <v>4</v>
      </c>
      <c r="I56" s="76">
        <v>14</v>
      </c>
    </row>
    <row r="57" spans="1:9" ht="14.25" thickBot="1">
      <c r="A57" s="74">
        <v>53</v>
      </c>
      <c r="B57" s="75">
        <v>240</v>
      </c>
      <c r="C57" s="76">
        <v>1</v>
      </c>
      <c r="D57" s="75">
        <v>120</v>
      </c>
      <c r="E57" s="76">
        <v>2</v>
      </c>
      <c r="F57" s="75">
        <v>60</v>
      </c>
      <c r="G57" s="76">
        <v>2</v>
      </c>
      <c r="H57" s="75">
        <v>4</v>
      </c>
      <c r="I57" s="76">
        <v>15</v>
      </c>
    </row>
    <row r="58" spans="1:9" ht="14.25" thickBot="1">
      <c r="A58" s="74">
        <v>54</v>
      </c>
      <c r="B58" s="75">
        <v>240</v>
      </c>
      <c r="C58" s="76">
        <v>1</v>
      </c>
      <c r="D58" s="75">
        <v>80</v>
      </c>
      <c r="E58" s="76">
        <v>3</v>
      </c>
      <c r="F58" s="75">
        <v>20</v>
      </c>
      <c r="G58" s="76">
        <v>4</v>
      </c>
      <c r="H58" s="75">
        <v>4</v>
      </c>
      <c r="I58" s="76">
        <v>5</v>
      </c>
    </row>
    <row r="59" spans="1:9" ht="14.25" thickBot="1">
      <c r="A59" s="74">
        <v>55</v>
      </c>
      <c r="B59" s="75">
        <v>240</v>
      </c>
      <c r="C59" s="76">
        <v>1</v>
      </c>
      <c r="D59" s="75">
        <v>48</v>
      </c>
      <c r="E59" s="76">
        <v>5</v>
      </c>
      <c r="F59" s="75">
        <v>16</v>
      </c>
      <c r="G59" s="76">
        <v>3</v>
      </c>
      <c r="H59" s="75">
        <v>8</v>
      </c>
      <c r="I59" s="76">
        <v>2</v>
      </c>
    </row>
    <row r="60" spans="1:9" ht="14.25" thickBot="1">
      <c r="A60" s="74">
        <v>56</v>
      </c>
      <c r="B60" s="75">
        <v>240</v>
      </c>
      <c r="C60" s="76">
        <v>1</v>
      </c>
      <c r="D60" s="75">
        <v>24</v>
      </c>
      <c r="E60" s="76">
        <v>10</v>
      </c>
      <c r="F60" s="75">
        <v>12</v>
      </c>
      <c r="G60" s="76">
        <v>2</v>
      </c>
      <c r="H60" s="75">
        <v>4</v>
      </c>
      <c r="I60" s="76">
        <v>3</v>
      </c>
    </row>
    <row r="61" spans="1:9" ht="14.25" thickBot="1">
      <c r="A61" s="77">
        <v>57</v>
      </c>
      <c r="B61" s="78">
        <v>256</v>
      </c>
      <c r="C61" s="76">
        <v>1</v>
      </c>
      <c r="D61" s="78">
        <v>128</v>
      </c>
      <c r="E61" s="76">
        <v>2</v>
      </c>
      <c r="F61" s="78">
        <v>64</v>
      </c>
      <c r="G61" s="76">
        <v>2</v>
      </c>
      <c r="H61" s="78">
        <v>4</v>
      </c>
      <c r="I61" s="76">
        <v>16</v>
      </c>
    </row>
    <row r="62" spans="1:9" ht="14.25" thickBot="1">
      <c r="A62" s="74">
        <v>58</v>
      </c>
      <c r="B62" s="75">
        <v>256</v>
      </c>
      <c r="C62" s="76">
        <v>1</v>
      </c>
      <c r="D62" s="75">
        <v>128</v>
      </c>
      <c r="E62" s="76">
        <v>2</v>
      </c>
      <c r="F62" s="75">
        <v>32</v>
      </c>
      <c r="G62" s="76">
        <v>4</v>
      </c>
      <c r="H62" s="75">
        <v>4</v>
      </c>
      <c r="I62" s="76">
        <v>8</v>
      </c>
    </row>
    <row r="63" spans="1:9" ht="14.25" thickBot="1">
      <c r="A63" s="77">
        <v>59</v>
      </c>
      <c r="B63" s="78">
        <v>256</v>
      </c>
      <c r="C63" s="78">
        <v>1</v>
      </c>
      <c r="D63" s="78">
        <v>16</v>
      </c>
      <c r="E63" s="78">
        <v>16</v>
      </c>
      <c r="F63" s="75">
        <v>8</v>
      </c>
      <c r="G63" s="76">
        <v>2</v>
      </c>
      <c r="H63" s="75">
        <v>4</v>
      </c>
      <c r="I63" s="76">
        <v>2</v>
      </c>
    </row>
    <row r="64" spans="1:9" ht="14.25" thickBot="1">
      <c r="A64" s="74">
        <v>60</v>
      </c>
      <c r="B64" s="75">
        <v>264</v>
      </c>
      <c r="C64" s="76">
        <v>1</v>
      </c>
      <c r="D64" s="75">
        <v>132</v>
      </c>
      <c r="E64" s="76">
        <v>2</v>
      </c>
      <c r="F64" s="75">
        <v>44</v>
      </c>
      <c r="G64" s="76">
        <v>3</v>
      </c>
      <c r="H64" s="75">
        <v>4</v>
      </c>
      <c r="I64" s="76">
        <v>11</v>
      </c>
    </row>
    <row r="65" spans="1:9" ht="14.25" thickBot="1">
      <c r="A65" s="77">
        <v>61</v>
      </c>
      <c r="B65" s="78">
        <v>272</v>
      </c>
      <c r="C65" s="78">
        <v>1</v>
      </c>
      <c r="D65" s="78">
        <v>136</v>
      </c>
      <c r="E65" s="78">
        <v>2</v>
      </c>
      <c r="F65" s="75">
        <v>68</v>
      </c>
      <c r="G65" s="76">
        <v>2</v>
      </c>
      <c r="H65" s="75">
        <v>4</v>
      </c>
      <c r="I65" s="76">
        <v>17</v>
      </c>
    </row>
    <row r="66" spans="1:9" ht="14.25" thickBot="1">
      <c r="A66" s="74">
        <v>62</v>
      </c>
      <c r="B66" s="75">
        <v>272</v>
      </c>
      <c r="C66" s="76">
        <v>1</v>
      </c>
      <c r="D66" s="75">
        <v>68</v>
      </c>
      <c r="E66" s="76">
        <v>4</v>
      </c>
      <c r="F66" s="75">
        <v>4</v>
      </c>
      <c r="G66" s="76">
        <v>17</v>
      </c>
      <c r="H66" s="75">
        <v>4</v>
      </c>
      <c r="I66" s="76">
        <v>1</v>
      </c>
    </row>
    <row r="67" spans="1:9" ht="14.25" thickBot="1">
      <c r="A67" s="74">
        <v>63</v>
      </c>
      <c r="B67" s="75">
        <v>272</v>
      </c>
      <c r="C67" s="75">
        <v>1</v>
      </c>
      <c r="D67" s="75">
        <v>16</v>
      </c>
      <c r="E67" s="75">
        <v>17</v>
      </c>
      <c r="F67" s="75">
        <v>8</v>
      </c>
      <c r="G67" s="75">
        <v>2</v>
      </c>
      <c r="H67" s="75">
        <v>4</v>
      </c>
      <c r="I67" s="75">
        <v>2</v>
      </c>
    </row>
    <row r="69" spans="1:9">
      <c r="A69" s="254" t="s">
        <v>85</v>
      </c>
      <c r="B69" s="255"/>
      <c r="C69" s="255"/>
      <c r="D69" s="255"/>
      <c r="E69" s="255"/>
      <c r="F69" s="255"/>
      <c r="G69" s="255"/>
      <c r="H69" s="255"/>
      <c r="I69" s="255"/>
    </row>
    <row r="70" spans="1:9">
      <c r="A70" s="255"/>
      <c r="B70" s="255"/>
      <c r="C70" s="255"/>
      <c r="D70" s="255"/>
      <c r="E70" s="255"/>
      <c r="F70" s="255"/>
      <c r="G70" s="255"/>
      <c r="H70" s="255"/>
      <c r="I70" s="255"/>
    </row>
    <row r="71" spans="1:9">
      <c r="A71" s="255"/>
      <c r="B71" s="255"/>
      <c r="C71" s="255"/>
      <c r="D71" s="255"/>
      <c r="E71" s="255"/>
      <c r="F71" s="255"/>
      <c r="G71" s="255"/>
      <c r="H71" s="255"/>
      <c r="I71" s="255"/>
    </row>
    <row r="72" spans="1:9">
      <c r="A72" s="255"/>
      <c r="B72" s="255"/>
      <c r="C72" s="255"/>
      <c r="D72" s="255"/>
      <c r="E72" s="255"/>
      <c r="F72" s="255"/>
      <c r="G72" s="255"/>
      <c r="H72" s="255"/>
      <c r="I72" s="255"/>
    </row>
    <row r="73" spans="1:9">
      <c r="A73" s="255"/>
      <c r="B73" s="255"/>
      <c r="C73" s="255"/>
      <c r="D73" s="255"/>
      <c r="E73" s="255"/>
      <c r="F73" s="255"/>
      <c r="G73" s="255"/>
      <c r="H73" s="255"/>
      <c r="I73" s="255"/>
    </row>
    <row r="74" spans="1:9">
      <c r="A74" s="255"/>
      <c r="B74" s="255"/>
      <c r="C74" s="255"/>
      <c r="D74" s="255"/>
      <c r="E74" s="255"/>
      <c r="F74" s="255"/>
      <c r="G74" s="255"/>
      <c r="H74" s="255"/>
      <c r="I74" s="255"/>
    </row>
    <row r="75" spans="1:9" ht="68.25" customHeight="1">
      <c r="A75" s="255"/>
      <c r="B75" s="255"/>
      <c r="C75" s="255"/>
      <c r="D75" s="255"/>
      <c r="E75" s="255"/>
      <c r="F75" s="255"/>
      <c r="G75" s="255"/>
      <c r="H75" s="255"/>
      <c r="I75" s="255"/>
    </row>
    <row r="76" spans="1:9">
      <c r="A76" s="256"/>
      <c r="B76" s="256"/>
      <c r="C76" s="256"/>
      <c r="D76" s="256"/>
      <c r="E76" s="256"/>
      <c r="F76" s="256"/>
      <c r="G76" s="256"/>
      <c r="H76" s="256"/>
    </row>
    <row r="77" spans="1:9">
      <c r="A77" s="256"/>
      <c r="B77" s="256"/>
      <c r="C77" s="256"/>
      <c r="D77" s="256"/>
      <c r="E77" s="256"/>
      <c r="F77" s="256"/>
      <c r="G77" s="256"/>
      <c r="H77" s="256"/>
    </row>
    <row r="78" spans="1:9">
      <c r="A78" s="256"/>
      <c r="B78" s="256"/>
      <c r="C78" s="256"/>
      <c r="D78" s="256"/>
      <c r="E78" s="256"/>
      <c r="F78" s="256"/>
      <c r="G78" s="256"/>
      <c r="H78" s="256"/>
    </row>
    <row r="79" spans="1:9">
      <c r="A79" s="256"/>
      <c r="B79" s="256"/>
      <c r="C79" s="256"/>
      <c r="D79" s="256"/>
      <c r="E79" s="256"/>
      <c r="F79" s="256"/>
      <c r="G79" s="256"/>
      <c r="H79" s="256"/>
    </row>
    <row r="80" spans="1:9">
      <c r="A80" s="256"/>
      <c r="B80" s="256"/>
      <c r="C80" s="256"/>
      <c r="D80" s="256"/>
      <c r="E80" s="256"/>
      <c r="F80" s="256"/>
      <c r="G80" s="256"/>
      <c r="H80" s="256"/>
    </row>
    <row r="81" spans="1:8">
      <c r="A81" s="256"/>
      <c r="B81" s="256"/>
      <c r="C81" s="256"/>
      <c r="D81" s="256"/>
      <c r="E81" s="256"/>
      <c r="F81" s="256"/>
      <c r="G81" s="256"/>
      <c r="H81" s="256"/>
    </row>
    <row r="82" spans="1:8" ht="34.5" customHeight="1">
      <c r="A82" s="256"/>
      <c r="B82" s="256"/>
      <c r="C82" s="256"/>
      <c r="D82" s="256"/>
      <c r="E82" s="256"/>
      <c r="F82" s="256"/>
      <c r="G82" s="256"/>
      <c r="H82" s="256"/>
    </row>
    <row r="83" spans="1:8">
      <c r="A83" s="79"/>
    </row>
    <row r="88" spans="1:8">
      <c r="A88" s="256"/>
      <c r="B88" s="256"/>
      <c r="C88" s="256"/>
      <c r="D88" s="256"/>
      <c r="E88" s="256"/>
      <c r="F88" s="256"/>
      <c r="G88" s="256"/>
      <c r="H88" s="256"/>
    </row>
    <row r="89" spans="1:8">
      <c r="A89" s="256"/>
      <c r="B89" s="256"/>
      <c r="C89" s="256"/>
      <c r="D89" s="256"/>
      <c r="E89" s="256"/>
      <c r="F89" s="256"/>
      <c r="G89" s="256"/>
      <c r="H89" s="256"/>
    </row>
    <row r="90" spans="1:8">
      <c r="A90" s="256"/>
      <c r="B90" s="256"/>
      <c r="C90" s="256"/>
      <c r="D90" s="256"/>
      <c r="E90" s="256"/>
      <c r="F90" s="256"/>
      <c r="G90" s="256"/>
      <c r="H90" s="256"/>
    </row>
    <row r="91" spans="1:8">
      <c r="A91" s="256"/>
      <c r="B91" s="256"/>
      <c r="C91" s="256"/>
      <c r="D91" s="256"/>
      <c r="E91" s="256"/>
      <c r="F91" s="256"/>
      <c r="G91" s="256"/>
      <c r="H91" s="256"/>
    </row>
    <row r="92" spans="1:8">
      <c r="A92" s="256"/>
      <c r="B92" s="256"/>
      <c r="C92" s="256"/>
      <c r="D92" s="256"/>
      <c r="E92" s="256"/>
      <c r="F92" s="256"/>
      <c r="G92" s="256"/>
      <c r="H92" s="256"/>
    </row>
    <row r="93" spans="1:8">
      <c r="A93" s="256"/>
      <c r="B93" s="256"/>
      <c r="C93" s="256"/>
      <c r="D93" s="256"/>
      <c r="E93" s="256"/>
      <c r="F93" s="256"/>
      <c r="G93" s="256"/>
      <c r="H93" s="256"/>
    </row>
  </sheetData>
  <mergeCells count="9">
    <mergeCell ref="A69:I75"/>
    <mergeCell ref="A76:H82"/>
    <mergeCell ref="A88:H93"/>
    <mergeCell ref="A1:I1"/>
    <mergeCell ref="A2:A3"/>
    <mergeCell ref="B2:C2"/>
    <mergeCell ref="D2:E2"/>
    <mergeCell ref="F2:G2"/>
    <mergeCell ref="H2:I2"/>
  </mergeCells>
  <phoneticPr fontId="2" type="noConversion"/>
  <pageMargins left="0.7" right="0.7" top="0.75" bottom="0.75" header="0.3" footer="0.3"/>
  <pageSetup paperSize="9" orientation="portrait" verticalDpi="0" r:id="rId1"/>
  <drawing r:id="rId2"/>
  <legacyDrawing r:id="rId3"/>
  <oleObjects>
    <mc:AlternateContent xmlns:mc="http://schemas.openxmlformats.org/markup-compatibility/2006">
      <mc:Choice Requires="x14">
        <oleObject progId="Equation.3" shapeId="13313" r:id="rId4">
          <objectPr defaultSize="0" autoPict="0" r:id="rId5">
            <anchor moveWithCells="1" sizeWithCells="1">
              <from>
                <xdr:col>0</xdr:col>
                <xdr:colOff>238125</xdr:colOff>
                <xdr:row>1</xdr:row>
                <xdr:rowOff>19050</xdr:rowOff>
              </from>
              <to>
                <xdr:col>0</xdr:col>
                <xdr:colOff>514350</xdr:colOff>
                <xdr:row>2</xdr:row>
                <xdr:rowOff>28575</xdr:rowOff>
              </to>
            </anchor>
          </objectPr>
        </oleObject>
      </mc:Choice>
      <mc:Fallback>
        <oleObject progId="Equation.3" shapeId="13313" r:id="rId4"/>
      </mc:Fallback>
    </mc:AlternateContent>
    <mc:AlternateContent xmlns:mc="http://schemas.openxmlformats.org/markup-compatibility/2006">
      <mc:Choice Requires="x14">
        <oleObject progId="Equation.3" shapeId="13314" r:id="rId6">
          <objectPr defaultSize="0" autoPict="0" r:id="rId7">
            <anchor moveWithCells="1" siz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457200</xdr:colOff>
                <xdr:row>2</xdr:row>
                <xdr:rowOff>38100</xdr:rowOff>
              </to>
            </anchor>
          </objectPr>
        </oleObject>
      </mc:Choice>
      <mc:Fallback>
        <oleObject progId="Equation.3" shapeId="13314" r:id="rId6"/>
      </mc:Fallback>
    </mc:AlternateContent>
    <mc:AlternateContent xmlns:mc="http://schemas.openxmlformats.org/markup-compatibility/2006">
      <mc:Choice Requires="x14">
        <oleObject progId="Equation.3" shapeId="13315" r:id="rId8">
          <objectPr defaultSize="0" autoPict="0" r:id="rId9">
            <anchor moveWithCells="1" sizeWithCells="1">
              <from>
                <xdr:col>3</xdr:col>
                <xdr:colOff>0</xdr:colOff>
                <xdr:row>1</xdr:row>
                <xdr:rowOff>0</xdr:rowOff>
              </from>
              <to>
                <xdr:col>3</xdr:col>
                <xdr:colOff>438150</xdr:colOff>
                <xdr:row>2</xdr:row>
                <xdr:rowOff>9525</xdr:rowOff>
              </to>
            </anchor>
          </objectPr>
        </oleObject>
      </mc:Choice>
      <mc:Fallback>
        <oleObject progId="Equation.3" shapeId="13315" r:id="rId8"/>
      </mc:Fallback>
    </mc:AlternateContent>
    <mc:AlternateContent xmlns:mc="http://schemas.openxmlformats.org/markup-compatibility/2006">
      <mc:Choice Requires="x14">
        <oleObject progId="Equation.3" shapeId="13316" r:id="rId10">
          <objectPr defaultSize="0" autoPict="0" r:id="rId11">
            <anchor moveWithCells="1" sizeWithCells="1">
              <from>
                <xdr:col>5</xdr:col>
                <xdr:colOff>0</xdr:colOff>
                <xdr:row>1</xdr:row>
                <xdr:rowOff>0</xdr:rowOff>
              </from>
              <to>
                <xdr:col>5</xdr:col>
                <xdr:colOff>447675</xdr:colOff>
                <xdr:row>2</xdr:row>
                <xdr:rowOff>9525</xdr:rowOff>
              </to>
            </anchor>
          </objectPr>
        </oleObject>
      </mc:Choice>
      <mc:Fallback>
        <oleObject progId="Equation.3" shapeId="13316" r:id="rId10"/>
      </mc:Fallback>
    </mc:AlternateContent>
    <mc:AlternateContent xmlns:mc="http://schemas.openxmlformats.org/markup-compatibility/2006">
      <mc:Choice Requires="x14">
        <oleObject progId="Equation.3" shapeId="13317" r:id="rId12">
          <objectPr defaultSize="0" autoPict="0" r:id="rId13">
            <anchor moveWithCells="1" sizeWithCells="1">
              <from>
                <xdr:col>6</xdr:col>
                <xdr:colOff>685800</xdr:colOff>
                <xdr:row>1</xdr:row>
                <xdr:rowOff>0</xdr:rowOff>
              </from>
              <to>
                <xdr:col>7</xdr:col>
                <xdr:colOff>438150</xdr:colOff>
                <xdr:row>2</xdr:row>
                <xdr:rowOff>9525</xdr:rowOff>
              </to>
            </anchor>
          </objectPr>
        </oleObject>
      </mc:Choice>
      <mc:Fallback>
        <oleObject progId="Equation.3" shapeId="13317" r:id="rId12"/>
      </mc:Fallback>
    </mc:AlternateContent>
    <mc:AlternateContent xmlns:mc="http://schemas.openxmlformats.org/markup-compatibility/2006">
      <mc:Choice Requires="x14">
        <oleObject progId="Equation.3" shapeId="13318" r:id="rId14">
          <objectPr defaultSize="0" autoPict="0" r:id="rId15">
            <anchor moveWithCells="1" sizeWithCells="1">
              <from>
                <xdr:col>0</xdr:col>
                <xdr:colOff>952500</xdr:colOff>
                <xdr:row>1</xdr:row>
                <xdr:rowOff>161925</xdr:rowOff>
              </from>
              <to>
                <xdr:col>2</xdr:col>
                <xdr:colOff>238125</xdr:colOff>
                <xdr:row>3</xdr:row>
                <xdr:rowOff>85725</xdr:rowOff>
              </to>
            </anchor>
          </objectPr>
        </oleObject>
      </mc:Choice>
      <mc:Fallback>
        <oleObject progId="Equation.3" shapeId="13318" r:id="rId14"/>
      </mc:Fallback>
    </mc:AlternateContent>
    <mc:AlternateContent xmlns:mc="http://schemas.openxmlformats.org/markup-compatibility/2006">
      <mc:Choice Requires="x14">
        <oleObject progId="Equation.3" shapeId="13319" r:id="rId16">
          <objectPr defaultSize="0" autoPict="0" r:id="rId17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2</xdr:col>
                <xdr:colOff>190500</xdr:colOff>
                <xdr:row>3</xdr:row>
                <xdr:rowOff>9525</xdr:rowOff>
              </to>
            </anchor>
          </objectPr>
        </oleObject>
      </mc:Choice>
      <mc:Fallback>
        <oleObject progId="Equation.3" shapeId="13319" r:id="rId16"/>
      </mc:Fallback>
    </mc:AlternateContent>
    <mc:AlternateContent xmlns:mc="http://schemas.openxmlformats.org/markup-compatibility/2006">
      <mc:Choice Requires="x14">
        <oleObject progId="Equation.3" shapeId="13320" r:id="rId18">
          <objectPr defaultSize="0" autoPict="0" r:id="rId19">
            <anchor moveWithCells="1" sizeWithCells="1">
              <from>
                <xdr:col>3</xdr:col>
                <xdr:colOff>0</xdr:colOff>
                <xdr:row>2</xdr:row>
                <xdr:rowOff>0</xdr:rowOff>
              </from>
              <to>
                <xdr:col>3</xdr:col>
                <xdr:colOff>352425</xdr:colOff>
                <xdr:row>3</xdr:row>
                <xdr:rowOff>19050</xdr:rowOff>
              </to>
            </anchor>
          </objectPr>
        </oleObject>
      </mc:Choice>
      <mc:Fallback>
        <oleObject progId="Equation.3" shapeId="13320" r:id="rId18"/>
      </mc:Fallback>
    </mc:AlternateContent>
    <mc:AlternateContent xmlns:mc="http://schemas.openxmlformats.org/markup-compatibility/2006">
      <mc:Choice Requires="x14">
        <oleObject progId="Equation.3" shapeId="13321" r:id="rId20">
          <objectPr defaultSize="0" autoPict="0" r:id="rId21">
            <anchor moveWithCells="1" sizeWithCells="1">
              <from>
                <xdr:col>4</xdr:col>
                <xdr:colOff>0</xdr:colOff>
                <xdr:row>2</xdr:row>
                <xdr:rowOff>0</xdr:rowOff>
              </from>
              <to>
                <xdr:col>4</xdr:col>
                <xdr:colOff>180975</xdr:colOff>
                <xdr:row>3</xdr:row>
                <xdr:rowOff>9525</xdr:rowOff>
              </to>
            </anchor>
          </objectPr>
        </oleObject>
      </mc:Choice>
      <mc:Fallback>
        <oleObject progId="Equation.3" shapeId="13321" r:id="rId20"/>
      </mc:Fallback>
    </mc:AlternateContent>
    <mc:AlternateContent xmlns:mc="http://schemas.openxmlformats.org/markup-compatibility/2006">
      <mc:Choice Requires="x14">
        <oleObject progId="Equation.3" shapeId="13322" r:id="rId22">
          <objectPr defaultSize="0" autoPict="0" r:id="rId23">
            <anchor moveWithCells="1" sizeWithCells="1">
              <from>
                <xdr:col>5</xdr:col>
                <xdr:colOff>0</xdr:colOff>
                <xdr:row>2</xdr:row>
                <xdr:rowOff>0</xdr:rowOff>
              </from>
              <to>
                <xdr:col>5</xdr:col>
                <xdr:colOff>371475</xdr:colOff>
                <xdr:row>3</xdr:row>
                <xdr:rowOff>19050</xdr:rowOff>
              </to>
            </anchor>
          </objectPr>
        </oleObject>
      </mc:Choice>
      <mc:Fallback>
        <oleObject progId="Equation.3" shapeId="13322" r:id="rId22"/>
      </mc:Fallback>
    </mc:AlternateContent>
    <mc:AlternateContent xmlns:mc="http://schemas.openxmlformats.org/markup-compatibility/2006">
      <mc:Choice Requires="x14">
        <oleObject progId="Equation.3" shapeId="13323" r:id="rId24">
          <objectPr defaultSize="0" autoPict="0" r:id="rId25">
            <anchor moveWithCells="1" sizeWithCells="1">
              <from>
                <xdr:col>6</xdr:col>
                <xdr:colOff>0</xdr:colOff>
                <xdr:row>2</xdr:row>
                <xdr:rowOff>0</xdr:rowOff>
              </from>
              <to>
                <xdr:col>6</xdr:col>
                <xdr:colOff>190500</xdr:colOff>
                <xdr:row>3</xdr:row>
                <xdr:rowOff>9525</xdr:rowOff>
              </to>
            </anchor>
          </objectPr>
        </oleObject>
      </mc:Choice>
      <mc:Fallback>
        <oleObject progId="Equation.3" shapeId="13323" r:id="rId24"/>
      </mc:Fallback>
    </mc:AlternateContent>
    <mc:AlternateContent xmlns:mc="http://schemas.openxmlformats.org/markup-compatibility/2006">
      <mc:Choice Requires="x14">
        <oleObject progId="Equation.3" shapeId="13324" r:id="rId26">
          <objectPr defaultSize="0" autoPict="0" r:id="rId27">
            <anchor moveWithCells="1" sizeWithCells="1">
              <from>
                <xdr:col>6</xdr:col>
                <xdr:colOff>685800</xdr:colOff>
                <xdr:row>2</xdr:row>
                <xdr:rowOff>0</xdr:rowOff>
              </from>
              <to>
                <xdr:col>7</xdr:col>
                <xdr:colOff>371475</xdr:colOff>
                <xdr:row>3</xdr:row>
                <xdr:rowOff>19050</xdr:rowOff>
              </to>
            </anchor>
          </objectPr>
        </oleObject>
      </mc:Choice>
      <mc:Fallback>
        <oleObject progId="Equation.3" shapeId="13324" r:id="rId26"/>
      </mc:Fallback>
    </mc:AlternateContent>
    <mc:AlternateContent xmlns:mc="http://schemas.openxmlformats.org/markup-compatibility/2006">
      <mc:Choice Requires="x14">
        <oleObject progId="Equation.3" shapeId="13325" r:id="rId28">
          <objectPr defaultSize="0" autoPict="0" r:id="rId29">
            <anchor moveWithCells="1" sizeWithCells="1">
              <from>
                <xdr:col>8</xdr:col>
                <xdr:colOff>0</xdr:colOff>
                <xdr:row>2</xdr:row>
                <xdr:rowOff>0</xdr:rowOff>
              </from>
              <to>
                <xdr:col>8</xdr:col>
                <xdr:colOff>190500</xdr:colOff>
                <xdr:row>3</xdr:row>
                <xdr:rowOff>9525</xdr:rowOff>
              </to>
            </anchor>
          </objectPr>
        </oleObject>
      </mc:Choice>
      <mc:Fallback>
        <oleObject progId="Equation.3" shapeId="13325" r:id="rId28"/>
      </mc:Fallback>
    </mc:AlternateContent>
    <mc:AlternateContent xmlns:mc="http://schemas.openxmlformats.org/markup-compatibility/2006">
      <mc:Choice Requires="x14">
        <oleObject progId="Equation.DSMT4" shapeId="13326" r:id="rId30">
          <objectPr defaultSize="0" autoPict="0" r:id="rId31">
            <anchor moveWithCells="1" sizeWithCells="1">
              <from>
                <xdr:col>0</xdr:col>
                <xdr:colOff>104775</xdr:colOff>
                <xdr:row>78</xdr:row>
                <xdr:rowOff>161925</xdr:rowOff>
              </from>
              <to>
                <xdr:col>3</xdr:col>
                <xdr:colOff>47625</xdr:colOff>
                <xdr:row>82</xdr:row>
                <xdr:rowOff>38100</xdr:rowOff>
              </to>
            </anchor>
          </objectPr>
        </oleObject>
      </mc:Choice>
      <mc:Fallback>
        <oleObject progId="Equation.DSMT4" shapeId="13326" r:id="rId30"/>
      </mc:Fallback>
    </mc:AlternateContent>
    <mc:AlternateContent xmlns:mc="http://schemas.openxmlformats.org/markup-compatibility/2006">
      <mc:Choice Requires="x14">
        <oleObject progId="Equation.DSMT4" shapeId="13327" r:id="rId32">
          <objectPr defaultSize="0" autoPict="0" r:id="rId33">
            <anchor moveWithCells="1" sizeWithCells="1">
              <from>
                <xdr:col>0</xdr:col>
                <xdr:colOff>57150</xdr:colOff>
                <xdr:row>82</xdr:row>
                <xdr:rowOff>76200</xdr:rowOff>
              </from>
              <to>
                <xdr:col>7</xdr:col>
                <xdr:colOff>266700</xdr:colOff>
                <xdr:row>87</xdr:row>
                <xdr:rowOff>85725</xdr:rowOff>
              </to>
            </anchor>
          </objectPr>
        </oleObject>
      </mc:Choice>
      <mc:Fallback>
        <oleObject progId="Equation.DSMT4" shapeId="13327" r:id="rId32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目录索引</vt:lpstr>
      <vt:lpstr>SRSandGAP原始数据</vt:lpstr>
      <vt:lpstr>各资源时域分配原始数据</vt:lpstr>
      <vt:lpstr>小区级时域资源拓扑</vt:lpstr>
      <vt:lpstr>UE级别时域资源拓扑</vt:lpstr>
      <vt:lpstr>PRACHandPUCCH频域位置填写</vt:lpstr>
      <vt:lpstr>PRACHandPUCCH频域位置图示</vt:lpstr>
      <vt:lpstr>PUCCHSR信道分配原始数据</vt:lpstr>
      <vt:lpstr>PUCCHSet0PRB级资源分配</vt:lpstr>
      <vt:lpstr>附录SRS多端口资源计算</vt:lpstr>
      <vt:lpstr>SrsBandwidthConfiguration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2020-09-16T10:17:30Z</dcterms:modified>
</cp:coreProperties>
</file>